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E:\Documents\GitHub\SteelStructureCalculationTool\SteelStructureCalculationTool\Resources\"/>
    </mc:Choice>
  </mc:AlternateContent>
  <bookViews>
    <workbookView xWindow="0" yWindow="0" windowWidth="21600" windowHeight="9840" tabRatio="821"/>
  </bookViews>
  <sheets>
    <sheet name="汇总" sheetId="10" r:id="rId1"/>
    <sheet name="14号管廊" sheetId="4" r:id="rId2"/>
    <sheet name="15号管廊" sheetId="1" r:id="rId3"/>
    <sheet name="16号管廊" sheetId="2" r:id="rId4"/>
    <sheet name="17号管廊" sheetId="3" r:id="rId5"/>
    <sheet name="常压主管廊" sheetId="5" r:id="rId6"/>
    <sheet name="常压电仪管廊" sheetId="6" r:id="rId7"/>
    <sheet name="覆土管架" sheetId="7" r:id="rId8"/>
    <sheet name="覆土泵棚" sheetId="8" r:id="rId9"/>
    <sheet name="液体装卸站" sheetId="9" r:id="rId10"/>
  </sheets>
  <definedNames>
    <definedName name="_xlnm._FilterDatabase" localSheetId="1" hidden="1">'14号管廊'!$A$1:$Q$84</definedName>
    <definedName name="_xlnm._FilterDatabase" localSheetId="2" hidden="1">'15号管廊'!$A$1:$Q$42</definedName>
    <definedName name="_xlnm._FilterDatabase" localSheetId="3" hidden="1">'16号管廊'!$A$1:$Q$22</definedName>
    <definedName name="_xlnm._FilterDatabase" localSheetId="4" hidden="1">'17号管廊'!$A$1:$Q$21</definedName>
    <definedName name="_xlnm._FilterDatabase" localSheetId="6" hidden="1">常压电仪管廊!$A$1:$Q$1</definedName>
    <definedName name="_xlnm._FilterDatabase" localSheetId="5" hidden="1">常压主管廊!$A$1:$Q$226</definedName>
    <definedName name="_xlnm._FilterDatabase" localSheetId="8" hidden="1">覆土泵棚!$A$1:$Q$41</definedName>
    <definedName name="_xlnm._FilterDatabase" localSheetId="7" hidden="1">覆土管架!$A$1:$Q$47</definedName>
    <definedName name="_xlnm._FilterDatabase" localSheetId="9" hidden="1">液体装卸站!$A$1:$Q$199</definedName>
    <definedName name="JG" localSheetId="1">IF('14号管廊'!$I1="",,EVALUATE('14号管廊'!$I1))</definedName>
    <definedName name="JG" localSheetId="2">IF('15号管廊'!$I1="",,EVALUATE('15号管廊'!$I1))</definedName>
    <definedName name="JG" localSheetId="3">IF('16号管廊'!$I1="",,EVALUATE('16号管廊'!$I1))</definedName>
    <definedName name="JG" localSheetId="4">IF('17号管廊'!$I1="",,EVALUATE('17号管廊'!$I1))</definedName>
    <definedName name="JG" localSheetId="6">IF(常压电仪管廊!$I1="",,EVALUATE(常压电仪管廊!$I1))</definedName>
    <definedName name="JG" localSheetId="5">IF(常压主管廊!$I1="",,EVALUATE(常压主管廊!$I1))</definedName>
    <definedName name="JG" localSheetId="8">IF(覆土泵棚!$I1="",,EVALUATE(覆土泵棚!$I1))</definedName>
    <definedName name="JG" localSheetId="7">IF(覆土管架!$I1="",,EVALUATE(覆土管架!$I1))</definedName>
    <definedName name="JG" localSheetId="9">IF(液体装卸站!$I1="",,EVALUATE(液体装卸站!$I1))</definedName>
    <definedName name="_xlnm.Print_Titles" localSheetId="1">'14号管廊'!$1:$1</definedName>
    <definedName name="_xlnm.Print_Titles" localSheetId="2">'15号管廊'!$1:$1</definedName>
    <definedName name="_xlnm.Print_Titles" localSheetId="3">'16号管廊'!$1:$1</definedName>
    <definedName name="_xlnm.Print_Titles" localSheetId="4">'17号管廊'!$1:$1</definedName>
    <definedName name="_xlnm.Print_Titles" localSheetId="6">常压电仪管廊!$1:$1</definedName>
    <definedName name="_xlnm.Print_Titles" localSheetId="5">常压主管廊!$1:$1</definedName>
    <definedName name="_xlnm.Print_Titles" localSheetId="8">覆土泵棚!$1:$1</definedName>
    <definedName name="_xlnm.Print_Titles" localSheetId="7">覆土管架!$1:$1</definedName>
    <definedName name="_xlnm.Print_Titles" localSheetId="9">液体装卸站!$1:$1</definedName>
  </definedNames>
  <calcPr calcId="152511"/>
</workbook>
</file>

<file path=xl/calcChain.xml><?xml version="1.0" encoding="utf-8"?>
<calcChain xmlns="http://schemas.openxmlformats.org/spreadsheetml/2006/main">
  <c r="O141" i="9" l="1"/>
  <c r="M141" i="9"/>
  <c r="O70" i="9"/>
  <c r="M70" i="9"/>
  <c r="O47" i="9"/>
  <c r="M47" i="9"/>
  <c r="O7" i="9"/>
  <c r="M7" i="9"/>
  <c r="O3" i="9"/>
  <c r="M3" i="9"/>
  <c r="O15" i="6"/>
  <c r="M15" i="6"/>
  <c r="O11" i="6"/>
  <c r="M11" i="6"/>
  <c r="O7" i="6"/>
  <c r="M7" i="6"/>
  <c r="O3" i="6"/>
  <c r="M3" i="6"/>
  <c r="O48" i="5"/>
  <c r="M48" i="5"/>
  <c r="O43" i="5"/>
  <c r="M43" i="5"/>
  <c r="O38" i="5"/>
  <c r="M38" i="5"/>
  <c r="O33" i="5"/>
  <c r="M33" i="5"/>
  <c r="O27" i="5"/>
  <c r="M27" i="5"/>
  <c r="O23" i="5"/>
  <c r="M23" i="5"/>
  <c r="O18" i="5"/>
  <c r="M18" i="5"/>
  <c r="O13" i="5"/>
  <c r="M13" i="5"/>
  <c r="O8" i="5"/>
  <c r="M8" i="5"/>
  <c r="O3" i="5"/>
  <c r="M3" i="5"/>
  <c r="O8" i="3"/>
  <c r="M8" i="3"/>
  <c r="O3" i="3"/>
  <c r="M3" i="3"/>
  <c r="O3" i="2"/>
  <c r="M3" i="2"/>
  <c r="O8" i="2"/>
  <c r="M8" i="2"/>
  <c r="O8" i="1"/>
  <c r="M8" i="1"/>
  <c r="O3" i="1"/>
  <c r="M3" i="1"/>
  <c r="O29" i="4"/>
  <c r="M29" i="4"/>
  <c r="O24" i="4"/>
  <c r="M24" i="4"/>
  <c r="O18" i="4"/>
  <c r="M18" i="4"/>
  <c r="O13" i="4"/>
  <c r="M13" i="4"/>
  <c r="O8" i="4"/>
  <c r="M8" i="4"/>
  <c r="O3" i="4"/>
  <c r="M3" i="4"/>
  <c r="O3" i="8"/>
  <c r="O32" i="7"/>
  <c r="O3" i="7"/>
  <c r="O145" i="9"/>
  <c r="O123" i="9"/>
  <c r="O148" i="9"/>
  <c r="O130" i="9"/>
  <c r="O133" i="9"/>
  <c r="O147" i="9"/>
  <c r="O126" i="9"/>
  <c r="O125" i="9"/>
  <c r="O146" i="9"/>
  <c r="O124" i="9"/>
  <c r="O18" i="9"/>
  <c r="O167" i="9"/>
  <c r="O22" i="9"/>
  <c r="O54" i="9"/>
  <c r="O170" i="9"/>
  <c r="O57" i="9"/>
  <c r="O173" i="9"/>
  <c r="O74" i="9"/>
  <c r="O104" i="9"/>
  <c r="O106" i="9"/>
  <c r="O58" i="9"/>
  <c r="O156" i="9"/>
  <c r="O161" i="9"/>
  <c r="O77" i="9"/>
  <c r="O110" i="9"/>
  <c r="O89" i="9"/>
  <c r="O95" i="9"/>
  <c r="O101" i="9"/>
  <c r="O158" i="9"/>
  <c r="O163" i="9"/>
  <c r="O87" i="9"/>
  <c r="O93" i="9"/>
  <c r="O99" i="9"/>
  <c r="O75" i="9"/>
  <c r="O81" i="9"/>
  <c r="O62" i="9"/>
  <c r="O19" i="9"/>
  <c r="O166" i="9"/>
  <c r="O23" i="9"/>
  <c r="O53" i="9"/>
  <c r="O169" i="9"/>
  <c r="O26" i="9"/>
  <c r="O59" i="9"/>
  <c r="O172" i="9"/>
  <c r="O15" i="9"/>
  <c r="O17" i="9"/>
  <c r="O131" i="9"/>
  <c r="O21" i="9"/>
  <c r="O30" i="9"/>
  <c r="M148" i="9"/>
  <c r="M130" i="9"/>
  <c r="M133" i="9"/>
  <c r="M147" i="9"/>
  <c r="M126" i="9"/>
  <c r="M125" i="9"/>
  <c r="M146" i="9"/>
  <c r="M124" i="9"/>
  <c r="M145" i="9"/>
  <c r="M18" i="9"/>
  <c r="M167" i="9"/>
  <c r="M22" i="9"/>
  <c r="M54" i="9"/>
  <c r="M170" i="9"/>
  <c r="M57" i="9"/>
  <c r="M173" i="9"/>
  <c r="M74" i="9"/>
  <c r="M104" i="9"/>
  <c r="M106" i="9"/>
  <c r="M58" i="9"/>
  <c r="M156" i="9"/>
  <c r="M161" i="9"/>
  <c r="M77" i="9"/>
  <c r="M110" i="9"/>
  <c r="M89" i="9"/>
  <c r="M95" i="9"/>
  <c r="M101" i="9"/>
  <c r="M158" i="9"/>
  <c r="M163" i="9"/>
  <c r="M87" i="9"/>
  <c r="M93" i="9"/>
  <c r="M99" i="9"/>
  <c r="M75" i="9"/>
  <c r="M81" i="9"/>
  <c r="M123" i="9"/>
  <c r="M62" i="9"/>
  <c r="M19" i="9"/>
  <c r="M166" i="9"/>
  <c r="M23" i="9"/>
  <c r="M53" i="9"/>
  <c r="M169" i="9"/>
  <c r="M26" i="9"/>
  <c r="M59" i="9"/>
  <c r="M172" i="9"/>
  <c r="M15" i="9"/>
  <c r="M17" i="9"/>
  <c r="M131" i="9"/>
  <c r="M21" i="9"/>
  <c r="M30" i="9"/>
  <c r="J181" i="9"/>
  <c r="L181" i="9" s="1"/>
  <c r="J185" i="9"/>
  <c r="L185" i="9" s="1"/>
  <c r="N185" i="9" s="1"/>
  <c r="J188" i="9"/>
  <c r="L188" i="9" s="1"/>
  <c r="P188" i="9" s="1"/>
  <c r="J192" i="9"/>
  <c r="L192" i="9" s="1"/>
  <c r="P192" i="9" s="1"/>
  <c r="J195" i="9"/>
  <c r="L195" i="9" s="1"/>
  <c r="J198" i="9"/>
  <c r="L198" i="9" s="1"/>
  <c r="N198" i="9" s="1"/>
  <c r="K137" i="9"/>
  <c r="K136" i="9"/>
  <c r="J143" i="9"/>
  <c r="J71" i="9"/>
  <c r="J48" i="9"/>
  <c r="J8" i="9"/>
  <c r="J15" i="6"/>
  <c r="J13" i="6"/>
  <c r="J8" i="6"/>
  <c r="J3" i="6"/>
  <c r="J49" i="5"/>
  <c r="J44" i="5"/>
  <c r="J38" i="5"/>
  <c r="J34" i="5"/>
  <c r="J28" i="5"/>
  <c r="J18" i="5"/>
  <c r="J13" i="5"/>
  <c r="J11" i="5"/>
  <c r="J6" i="5"/>
  <c r="J8" i="3"/>
  <c r="J3" i="3"/>
  <c r="J6" i="2"/>
  <c r="J10" i="2"/>
  <c r="J8" i="1"/>
  <c r="J3" i="1"/>
  <c r="J32" i="4"/>
  <c r="J26" i="4"/>
  <c r="J20" i="4"/>
  <c r="J15" i="4"/>
  <c r="J9" i="4"/>
  <c r="J5" i="4"/>
  <c r="J15" i="9"/>
  <c r="J31" i="9"/>
  <c r="J54" i="9"/>
  <c r="J76" i="9"/>
  <c r="J92" i="9"/>
  <c r="J108" i="9"/>
  <c r="J124" i="9"/>
  <c r="J140" i="9"/>
  <c r="J158" i="9"/>
  <c r="J174" i="9"/>
  <c r="J190" i="9"/>
  <c r="J37" i="9"/>
  <c r="J90" i="9"/>
  <c r="J148" i="9"/>
  <c r="J12" i="9"/>
  <c r="J28" i="9"/>
  <c r="J44" i="9"/>
  <c r="J63" i="9"/>
  <c r="J81" i="9"/>
  <c r="J97" i="9"/>
  <c r="J113" i="9"/>
  <c r="J129" i="9"/>
  <c r="J151" i="9"/>
  <c r="J167" i="9"/>
  <c r="J183" i="9"/>
  <c r="J21" i="9"/>
  <c r="J74" i="9"/>
  <c r="J122" i="9"/>
  <c r="J168" i="9"/>
  <c r="J22" i="9"/>
  <c r="J38" i="9"/>
  <c r="J57" i="9"/>
  <c r="J75" i="9"/>
  <c r="J91" i="9"/>
  <c r="J107" i="9"/>
  <c r="J123" i="9"/>
  <c r="J139" i="9"/>
  <c r="J157" i="9"/>
  <c r="J173" i="9"/>
  <c r="J197" i="9"/>
  <c r="J56" i="9"/>
  <c r="J106" i="9"/>
  <c r="J152" i="9"/>
  <c r="J6" i="9"/>
  <c r="J50" i="9"/>
  <c r="J5" i="9"/>
  <c r="J17" i="6"/>
  <c r="J51" i="5"/>
  <c r="J30" i="5"/>
  <c r="J24" i="5"/>
  <c r="J9" i="5"/>
  <c r="J5" i="3"/>
  <c r="J10" i="1"/>
  <c r="J18" i="4"/>
  <c r="J3" i="4"/>
  <c r="J62" i="9"/>
  <c r="J116" i="9"/>
  <c r="J166" i="9"/>
  <c r="J182" i="9"/>
  <c r="J118" i="9"/>
  <c r="J55" i="9"/>
  <c r="J121" i="9"/>
  <c r="J175" i="9"/>
  <c r="J94" i="9"/>
  <c r="J30" i="9"/>
  <c r="J99" i="9"/>
  <c r="J131" i="9"/>
  <c r="J189" i="9"/>
  <c r="J126" i="9"/>
  <c r="J142" i="9"/>
  <c r="J47" i="9"/>
  <c r="J7" i="9"/>
  <c r="J3" i="9"/>
  <c r="J18" i="6"/>
  <c r="J12" i="6"/>
  <c r="J7" i="6"/>
  <c r="J48" i="5"/>
  <c r="J43" i="5"/>
  <c r="J41" i="5"/>
  <c r="J33" i="5"/>
  <c r="J27" i="5"/>
  <c r="J25" i="5"/>
  <c r="J21" i="5"/>
  <c r="J16" i="5"/>
  <c r="J10" i="5"/>
  <c r="J5" i="5"/>
  <c r="J11" i="3"/>
  <c r="J6" i="3"/>
  <c r="J5" i="2"/>
  <c r="J8" i="2"/>
  <c r="J11" i="1"/>
  <c r="J6" i="1"/>
  <c r="J31" i="4"/>
  <c r="J25" i="4"/>
  <c r="J19" i="4"/>
  <c r="J14" i="4"/>
  <c r="J13" i="4"/>
  <c r="J6" i="4"/>
  <c r="J19" i="9"/>
  <c r="J35" i="9"/>
  <c r="J58" i="9"/>
  <c r="J80" i="9"/>
  <c r="J96" i="9"/>
  <c r="J112" i="9"/>
  <c r="J128" i="9"/>
  <c r="J146" i="9"/>
  <c r="J162" i="9"/>
  <c r="J178" i="9"/>
  <c r="J194" i="9"/>
  <c r="J45" i="9"/>
  <c r="J102" i="9"/>
  <c r="J160" i="9"/>
  <c r="J16" i="9"/>
  <c r="J32" i="9"/>
  <c r="J51" i="9"/>
  <c r="J67" i="9"/>
  <c r="J85" i="9"/>
  <c r="J101" i="9"/>
  <c r="J117" i="9"/>
  <c r="J133" i="9"/>
  <c r="J155" i="9"/>
  <c r="J171" i="9"/>
  <c r="J187" i="9"/>
  <c r="J33" i="9"/>
  <c r="J86" i="9"/>
  <c r="J134" i="9"/>
  <c r="J180" i="9"/>
  <c r="J26" i="9"/>
  <c r="J42" i="9"/>
  <c r="J61" i="9"/>
  <c r="J79" i="9"/>
  <c r="J95" i="9"/>
  <c r="J111" i="9"/>
  <c r="J127" i="9"/>
  <c r="J145" i="9"/>
  <c r="J161" i="9"/>
  <c r="J177" i="9"/>
  <c r="J17" i="9"/>
  <c r="J68" i="9"/>
  <c r="J114" i="9"/>
  <c r="J164" i="9"/>
  <c r="J70" i="9"/>
  <c r="J10" i="9"/>
  <c r="J11" i="6"/>
  <c r="J46" i="5"/>
  <c r="J36" i="5"/>
  <c r="J15" i="5"/>
  <c r="J10" i="3"/>
  <c r="J11" i="2"/>
  <c r="J30" i="4"/>
  <c r="J11" i="4"/>
  <c r="J23" i="9"/>
  <c r="J84" i="9"/>
  <c r="J150" i="9"/>
  <c r="J64" i="9"/>
  <c r="J20" i="9"/>
  <c r="J73" i="9"/>
  <c r="J105" i="9"/>
  <c r="J159" i="9"/>
  <c r="J52" i="9"/>
  <c r="J14" i="9"/>
  <c r="J83" i="9"/>
  <c r="J149" i="9"/>
  <c r="J29" i="9"/>
  <c r="J176" i="9"/>
  <c r="J141" i="9"/>
  <c r="J72" i="9"/>
  <c r="J49" i="9"/>
  <c r="J9" i="9"/>
  <c r="J4" i="9"/>
  <c r="J16" i="6"/>
  <c r="J9" i="6"/>
  <c r="J4" i="6"/>
  <c r="J50" i="5"/>
  <c r="J45" i="5"/>
  <c r="J39" i="5"/>
  <c r="J35" i="5"/>
  <c r="J29" i="5"/>
  <c r="J23" i="5"/>
  <c r="J19" i="5"/>
  <c r="J14" i="5"/>
  <c r="J8" i="5"/>
  <c r="J3" i="5"/>
  <c r="J9" i="3"/>
  <c r="J4" i="3"/>
  <c r="J3" i="2"/>
  <c r="J9" i="2"/>
  <c r="J9" i="1"/>
  <c r="J4" i="1"/>
  <c r="J27" i="4"/>
  <c r="J21" i="4"/>
  <c r="J16" i="4"/>
  <c r="J10" i="4"/>
  <c r="J4" i="4"/>
  <c r="J11" i="9"/>
  <c r="J27" i="9"/>
  <c r="J43" i="9"/>
  <c r="J66" i="9"/>
  <c r="J88" i="9"/>
  <c r="J104" i="9"/>
  <c r="J120" i="9"/>
  <c r="J136" i="9"/>
  <c r="J154" i="9"/>
  <c r="J170" i="9"/>
  <c r="J186" i="9"/>
  <c r="J25" i="9"/>
  <c r="J78" i="9"/>
  <c r="J130" i="9"/>
  <c r="J184" i="9"/>
  <c r="J24" i="9"/>
  <c r="J40" i="9"/>
  <c r="J59" i="9"/>
  <c r="J77" i="9"/>
  <c r="J93" i="9"/>
  <c r="J109" i="9"/>
  <c r="J125" i="9"/>
  <c r="J147" i="9"/>
  <c r="J163" i="9"/>
  <c r="J179" i="9"/>
  <c r="J199" i="9"/>
  <c r="J60" i="9"/>
  <c r="J110" i="9"/>
  <c r="J156" i="9"/>
  <c r="J18" i="9"/>
  <c r="J34" i="9"/>
  <c r="J53" i="9"/>
  <c r="J69" i="9"/>
  <c r="J87" i="9"/>
  <c r="J103" i="9"/>
  <c r="J119" i="9"/>
  <c r="J135" i="9"/>
  <c r="J153" i="9"/>
  <c r="J169" i="9"/>
  <c r="J193" i="9"/>
  <c r="J41" i="9"/>
  <c r="J98" i="9"/>
  <c r="J138" i="9"/>
  <c r="J196" i="9"/>
  <c r="J5" i="6"/>
  <c r="J40" i="5"/>
  <c r="J20" i="5"/>
  <c r="J4" i="5"/>
  <c r="J4" i="2"/>
  <c r="J5" i="1"/>
  <c r="J24" i="4"/>
  <c r="J8" i="4"/>
  <c r="J39" i="9"/>
  <c r="J100" i="9"/>
  <c r="J132" i="9"/>
  <c r="J13" i="9"/>
  <c r="J172" i="9"/>
  <c r="J36" i="9"/>
  <c r="J89" i="9"/>
  <c r="J137" i="9"/>
  <c r="J191" i="9"/>
  <c r="J144" i="9"/>
  <c r="J46" i="9"/>
  <c r="J65" i="9"/>
  <c r="J115" i="9"/>
  <c r="J165" i="9"/>
  <c r="J82" i="9"/>
  <c r="L142" i="9" l="1"/>
  <c r="L143" i="9"/>
  <c r="L141" i="9"/>
  <c r="N141" i="9" s="1"/>
  <c r="L71" i="9"/>
  <c r="L72" i="9"/>
  <c r="L70" i="9"/>
  <c r="N70" i="9" s="1"/>
  <c r="L48" i="9"/>
  <c r="L49" i="9"/>
  <c r="L50" i="9"/>
  <c r="L47" i="9"/>
  <c r="N47" i="9" s="1"/>
  <c r="L8" i="9"/>
  <c r="L9" i="9"/>
  <c r="L10" i="9"/>
  <c r="L7" i="9"/>
  <c r="N7" i="9" s="1"/>
  <c r="L4" i="9"/>
  <c r="L5" i="9"/>
  <c r="L3" i="9"/>
  <c r="N3" i="9" s="1"/>
  <c r="L16" i="6"/>
  <c r="L17" i="6"/>
  <c r="L18" i="6"/>
  <c r="L15" i="6"/>
  <c r="N15" i="6" s="1"/>
  <c r="L13" i="6"/>
  <c r="L12" i="6"/>
  <c r="L11" i="6"/>
  <c r="L9" i="6"/>
  <c r="L8" i="6"/>
  <c r="L7" i="6"/>
  <c r="L5" i="6"/>
  <c r="L4" i="6"/>
  <c r="L3" i="6"/>
  <c r="L49" i="5"/>
  <c r="L50" i="5"/>
  <c r="L51" i="5"/>
  <c r="L48" i="5"/>
  <c r="N48" i="5" s="1"/>
  <c r="L44" i="5"/>
  <c r="L45" i="5"/>
  <c r="L46" i="5"/>
  <c r="L43" i="5"/>
  <c r="N43" i="5" s="1"/>
  <c r="L41" i="5"/>
  <c r="L40" i="5"/>
  <c r="L39" i="5"/>
  <c r="L38" i="5"/>
  <c r="L34" i="5"/>
  <c r="L35" i="5"/>
  <c r="L36" i="5"/>
  <c r="L33" i="5"/>
  <c r="N33" i="5" s="1"/>
  <c r="P33" i="5"/>
  <c r="L28" i="5"/>
  <c r="L29" i="5"/>
  <c r="L30" i="5"/>
  <c r="L27" i="5"/>
  <c r="N27" i="5" s="1"/>
  <c r="L25" i="5"/>
  <c r="L24" i="5"/>
  <c r="L23" i="5"/>
  <c r="L19" i="5"/>
  <c r="L20" i="5"/>
  <c r="L21" i="5"/>
  <c r="L18" i="5"/>
  <c r="N18" i="5" s="1"/>
  <c r="L14" i="5"/>
  <c r="L15" i="5"/>
  <c r="L16" i="5"/>
  <c r="L13" i="5"/>
  <c r="N13" i="5" s="1"/>
  <c r="L11" i="5"/>
  <c r="L10" i="5"/>
  <c r="L9" i="5"/>
  <c r="L8" i="5"/>
  <c r="L6" i="5"/>
  <c r="L5" i="5"/>
  <c r="L4" i="5"/>
  <c r="L3" i="5"/>
  <c r="L9" i="3"/>
  <c r="L10" i="3"/>
  <c r="L11" i="3"/>
  <c r="L8" i="3"/>
  <c r="N8" i="3" s="1"/>
  <c r="L4" i="3"/>
  <c r="L5" i="3"/>
  <c r="L6" i="3"/>
  <c r="L3" i="3"/>
  <c r="N3" i="3" s="1"/>
  <c r="L6" i="2"/>
  <c r="L5" i="2"/>
  <c r="L4" i="2"/>
  <c r="L3" i="2"/>
  <c r="L9" i="2"/>
  <c r="L11" i="2"/>
  <c r="L8" i="2"/>
  <c r="N8" i="2" s="1"/>
  <c r="L10" i="2"/>
  <c r="L9" i="1"/>
  <c r="L10" i="1"/>
  <c r="L11" i="1"/>
  <c r="L8" i="1"/>
  <c r="N8" i="1" s="1"/>
  <c r="L4" i="1"/>
  <c r="L5" i="1"/>
  <c r="L6" i="1"/>
  <c r="L3" i="1"/>
  <c r="N3" i="1" s="1"/>
  <c r="P3" i="1"/>
  <c r="L32" i="4"/>
  <c r="L31" i="4"/>
  <c r="L30" i="4"/>
  <c r="L27" i="4"/>
  <c r="L26" i="4"/>
  <c r="L25" i="4"/>
  <c r="L24" i="4"/>
  <c r="L21" i="4"/>
  <c r="L20" i="4"/>
  <c r="L19" i="4"/>
  <c r="L18" i="4"/>
  <c r="L13" i="4"/>
  <c r="L16" i="4"/>
  <c r="L15" i="4"/>
  <c r="L14" i="4"/>
  <c r="L11" i="4"/>
  <c r="N11" i="4" s="1"/>
  <c r="L10" i="4"/>
  <c r="N10" i="4" s="1"/>
  <c r="L9" i="4"/>
  <c r="P9" i="4" s="1"/>
  <c r="L8" i="4"/>
  <c r="L6" i="4"/>
  <c r="L5" i="4"/>
  <c r="L4" i="4"/>
  <c r="L3" i="4"/>
  <c r="L6" i="9"/>
  <c r="L196" i="9"/>
  <c r="P196" i="9" s="1"/>
  <c r="L176" i="9"/>
  <c r="P176" i="9" s="1"/>
  <c r="L164" i="9"/>
  <c r="L152" i="9"/>
  <c r="L138" i="9"/>
  <c r="P138" i="9" s="1"/>
  <c r="L126" i="9"/>
  <c r="P126" i="9" s="1"/>
  <c r="L114" i="9"/>
  <c r="P114" i="9" s="1"/>
  <c r="L106" i="9"/>
  <c r="P106" i="9" s="1"/>
  <c r="L98" i="9"/>
  <c r="L82" i="9"/>
  <c r="L68" i="9"/>
  <c r="L56" i="9"/>
  <c r="L41" i="9"/>
  <c r="L29" i="9"/>
  <c r="L17" i="9"/>
  <c r="P17" i="9" s="1"/>
  <c r="L197" i="9"/>
  <c r="N197" i="9" s="1"/>
  <c r="L193" i="9"/>
  <c r="L189" i="9"/>
  <c r="N189" i="9" s="1"/>
  <c r="L177" i="9"/>
  <c r="L173" i="9"/>
  <c r="L169" i="9"/>
  <c r="L165" i="9"/>
  <c r="N165" i="9" s="1"/>
  <c r="L161" i="9"/>
  <c r="L157" i="9"/>
  <c r="N157" i="9" s="1"/>
  <c r="L153" i="9"/>
  <c r="N153" i="9" s="1"/>
  <c r="L149" i="9"/>
  <c r="N149" i="9" s="1"/>
  <c r="L145" i="9"/>
  <c r="L139" i="9"/>
  <c r="L135" i="9"/>
  <c r="L131" i="9"/>
  <c r="L127" i="9"/>
  <c r="L123" i="9"/>
  <c r="L119" i="9"/>
  <c r="L115" i="9"/>
  <c r="L111" i="9"/>
  <c r="L107" i="9"/>
  <c r="N107" i="9" s="1"/>
  <c r="L103" i="9"/>
  <c r="N103" i="9" s="1"/>
  <c r="L99" i="9"/>
  <c r="L95" i="9"/>
  <c r="L91" i="9"/>
  <c r="N91" i="9" s="1"/>
  <c r="L87" i="9"/>
  <c r="L83" i="9"/>
  <c r="N83" i="9" s="1"/>
  <c r="L79" i="9"/>
  <c r="N79" i="9" s="1"/>
  <c r="L75" i="9"/>
  <c r="L69" i="9"/>
  <c r="N69" i="9" s="1"/>
  <c r="L65" i="9"/>
  <c r="L61" i="9"/>
  <c r="N61" i="9" s="1"/>
  <c r="L57" i="9"/>
  <c r="L53" i="9"/>
  <c r="L46" i="9"/>
  <c r="L42" i="9"/>
  <c r="N42" i="9" s="1"/>
  <c r="L38" i="9"/>
  <c r="L34" i="9"/>
  <c r="L30" i="9"/>
  <c r="L26" i="9"/>
  <c r="L22" i="9"/>
  <c r="L18" i="9"/>
  <c r="L14" i="9"/>
  <c r="N14" i="9" s="1"/>
  <c r="L180" i="9"/>
  <c r="L168" i="9"/>
  <c r="P168" i="9" s="1"/>
  <c r="L156" i="9"/>
  <c r="P156" i="9" s="1"/>
  <c r="L144" i="9"/>
  <c r="P144" i="9" s="1"/>
  <c r="L134" i="9"/>
  <c r="P134" i="9" s="1"/>
  <c r="L122" i="9"/>
  <c r="P122" i="9" s="1"/>
  <c r="L110" i="9"/>
  <c r="P110" i="9" s="1"/>
  <c r="L94" i="9"/>
  <c r="L86" i="9"/>
  <c r="L74" i="9"/>
  <c r="P74" i="9" s="1"/>
  <c r="L60" i="9"/>
  <c r="P60" i="9" s="1"/>
  <c r="L52" i="9"/>
  <c r="P52" i="9" s="1"/>
  <c r="L33" i="9"/>
  <c r="P33" i="9" s="1"/>
  <c r="L21" i="9"/>
  <c r="P21" i="9" s="1"/>
  <c r="L199" i="9"/>
  <c r="L191" i="9"/>
  <c r="N191" i="9" s="1"/>
  <c r="L187" i="9"/>
  <c r="N187" i="9" s="1"/>
  <c r="L183" i="9"/>
  <c r="N183" i="9" s="1"/>
  <c r="L179" i="9"/>
  <c r="L175" i="9"/>
  <c r="N175" i="9" s="1"/>
  <c r="L171" i="9"/>
  <c r="N171" i="9" s="1"/>
  <c r="L167" i="9"/>
  <c r="N167" i="9" s="1"/>
  <c r="L163" i="9"/>
  <c r="N163" i="9" s="1"/>
  <c r="L159" i="9"/>
  <c r="N159" i="9" s="1"/>
  <c r="L155" i="9"/>
  <c r="N155" i="9" s="1"/>
  <c r="L151" i="9"/>
  <c r="N151" i="9" s="1"/>
  <c r="L147" i="9"/>
  <c r="N147" i="9" s="1"/>
  <c r="L137" i="9"/>
  <c r="L133" i="9"/>
  <c r="L129" i="9"/>
  <c r="N129" i="9" s="1"/>
  <c r="L125" i="9"/>
  <c r="L121" i="9"/>
  <c r="N121" i="9" s="1"/>
  <c r="L117" i="9"/>
  <c r="L113" i="9"/>
  <c r="L109" i="9"/>
  <c r="N109" i="9" s="1"/>
  <c r="L105" i="9"/>
  <c r="L101" i="9"/>
  <c r="L97" i="9"/>
  <c r="N97" i="9" s="1"/>
  <c r="L93" i="9"/>
  <c r="L89" i="9"/>
  <c r="N89" i="9" s="1"/>
  <c r="L85" i="9"/>
  <c r="L81" i="9"/>
  <c r="N81" i="9" s="1"/>
  <c r="L77" i="9"/>
  <c r="L73" i="9"/>
  <c r="N73" i="9" s="1"/>
  <c r="L67" i="9"/>
  <c r="N67" i="9" s="1"/>
  <c r="L63" i="9"/>
  <c r="L59" i="9"/>
  <c r="L55" i="9"/>
  <c r="N55" i="9" s="1"/>
  <c r="L51" i="9"/>
  <c r="N51" i="9" s="1"/>
  <c r="L44" i="9"/>
  <c r="N44" i="9" s="1"/>
  <c r="L40" i="9"/>
  <c r="N40" i="9" s="1"/>
  <c r="L36" i="9"/>
  <c r="L32" i="9"/>
  <c r="N32" i="9" s="1"/>
  <c r="L28" i="9"/>
  <c r="N28" i="9" s="1"/>
  <c r="L24" i="9"/>
  <c r="L20" i="9"/>
  <c r="N20" i="9" s="1"/>
  <c r="L16" i="9"/>
  <c r="L12" i="9"/>
  <c r="L184" i="9"/>
  <c r="L172" i="9"/>
  <c r="P172" i="9" s="1"/>
  <c r="L160" i="9"/>
  <c r="L148" i="9"/>
  <c r="P148" i="9" s="1"/>
  <c r="L130" i="9"/>
  <c r="P130" i="9" s="1"/>
  <c r="L118" i="9"/>
  <c r="P118" i="9" s="1"/>
  <c r="L102" i="9"/>
  <c r="L90" i="9"/>
  <c r="L78" i="9"/>
  <c r="L64" i="9"/>
  <c r="L45" i="9"/>
  <c r="L37" i="9"/>
  <c r="P37" i="9" s="1"/>
  <c r="L25" i="9"/>
  <c r="L13" i="9"/>
  <c r="L194" i="9"/>
  <c r="N194" i="9" s="1"/>
  <c r="L190" i="9"/>
  <c r="N190" i="9" s="1"/>
  <c r="L186" i="9"/>
  <c r="L182" i="9"/>
  <c r="N182" i="9" s="1"/>
  <c r="L178" i="9"/>
  <c r="N178" i="9" s="1"/>
  <c r="L174" i="9"/>
  <c r="L170" i="9"/>
  <c r="L166" i="9"/>
  <c r="L162" i="9"/>
  <c r="N162" i="9" s="1"/>
  <c r="L158" i="9"/>
  <c r="L154" i="9"/>
  <c r="N154" i="9" s="1"/>
  <c r="L150" i="9"/>
  <c r="N150" i="9" s="1"/>
  <c r="L146" i="9"/>
  <c r="L140" i="9"/>
  <c r="L136" i="9"/>
  <c r="L132" i="9"/>
  <c r="N132" i="9" s="1"/>
  <c r="L128" i="9"/>
  <c r="L124" i="9"/>
  <c r="L120" i="9"/>
  <c r="L116" i="9"/>
  <c r="L112" i="9"/>
  <c r="L108" i="9"/>
  <c r="N108" i="9" s="1"/>
  <c r="L104" i="9"/>
  <c r="L100" i="9"/>
  <c r="N100" i="9" s="1"/>
  <c r="L96" i="9"/>
  <c r="N96" i="9" s="1"/>
  <c r="L92" i="9"/>
  <c r="N92" i="9" s="1"/>
  <c r="L88" i="9"/>
  <c r="N88" i="9" s="1"/>
  <c r="L84" i="9"/>
  <c r="L80" i="9"/>
  <c r="L76" i="9"/>
  <c r="N76" i="9" s="1"/>
  <c r="L66" i="9"/>
  <c r="N66" i="9" s="1"/>
  <c r="L62" i="9"/>
  <c r="L58" i="9"/>
  <c r="L54" i="9"/>
  <c r="L43" i="9"/>
  <c r="N43" i="9" s="1"/>
  <c r="L39" i="9"/>
  <c r="L35" i="9"/>
  <c r="L31" i="9"/>
  <c r="L27" i="9"/>
  <c r="L23" i="9"/>
  <c r="L19" i="9"/>
  <c r="L15" i="9"/>
  <c r="L11" i="9"/>
  <c r="P181" i="9"/>
  <c r="N181" i="9"/>
  <c r="P198" i="9"/>
  <c r="P185" i="9"/>
  <c r="P195" i="9"/>
  <c r="N195" i="9"/>
  <c r="N192" i="9"/>
  <c r="N188" i="9"/>
  <c r="O4" i="8"/>
  <c r="O25" i="8"/>
  <c r="M4" i="8"/>
  <c r="M25" i="8"/>
  <c r="O28" i="8"/>
  <c r="O27" i="8"/>
  <c r="O26" i="8"/>
  <c r="O21" i="8"/>
  <c r="O5" i="8"/>
  <c r="O8" i="8"/>
  <c r="O23" i="8"/>
  <c r="O24" i="8"/>
  <c r="O9" i="8"/>
  <c r="O6" i="8"/>
  <c r="O7" i="8"/>
  <c r="O29" i="8"/>
  <c r="O22" i="8"/>
  <c r="M28" i="8"/>
  <c r="M27" i="8"/>
  <c r="M26" i="8"/>
  <c r="M21" i="8"/>
  <c r="M5" i="8"/>
  <c r="M8" i="8"/>
  <c r="M23" i="8"/>
  <c r="M24" i="8"/>
  <c r="M3" i="8"/>
  <c r="M9" i="8"/>
  <c r="M6" i="8"/>
  <c r="M7" i="8"/>
  <c r="M29" i="8"/>
  <c r="M22" i="8"/>
  <c r="O19" i="8"/>
  <c r="O14" i="8"/>
  <c r="O18" i="8"/>
  <c r="O17" i="8"/>
  <c r="O34" i="8"/>
  <c r="O15" i="8"/>
  <c r="J11" i="8"/>
  <c r="L11" i="8" s="1"/>
  <c r="P11" i="8" s="1"/>
  <c r="J12" i="8"/>
  <c r="L12" i="8" s="1"/>
  <c r="J13" i="8"/>
  <c r="L13" i="8" s="1"/>
  <c r="K23" i="8"/>
  <c r="J7" i="8"/>
  <c r="J38" i="8"/>
  <c r="J19" i="8"/>
  <c r="J35" i="8"/>
  <c r="J24" i="8"/>
  <c r="J9" i="8"/>
  <c r="J27" i="8"/>
  <c r="J4" i="8"/>
  <c r="J5" i="8"/>
  <c r="J15" i="8"/>
  <c r="J34" i="8"/>
  <c r="J23" i="8"/>
  <c r="J16" i="8"/>
  <c r="J17" i="8"/>
  <c r="J3" i="8"/>
  <c r="J22" i="8"/>
  <c r="J25" i="8"/>
  <c r="J21" i="8"/>
  <c r="J33" i="8"/>
  <c r="J29" i="4"/>
  <c r="J40" i="8"/>
  <c r="J41" i="8"/>
  <c r="J28" i="8"/>
  <c r="J29" i="8"/>
  <c r="J37" i="8"/>
  <c r="J14" i="8"/>
  <c r="J18" i="8"/>
  <c r="J20" i="8"/>
  <c r="J30" i="8"/>
  <c r="J26" i="8"/>
  <c r="J6" i="8"/>
  <c r="J10" i="8"/>
  <c r="J31" i="8"/>
  <c r="J36" i="8"/>
  <c r="J2" i="9"/>
  <c r="J8" i="8"/>
  <c r="J32" i="8"/>
  <c r="J39" i="8"/>
  <c r="P43" i="5" l="1"/>
  <c r="P15" i="6"/>
  <c r="P141" i="9"/>
  <c r="P143" i="9"/>
  <c r="N143" i="9"/>
  <c r="P142" i="9"/>
  <c r="N142" i="9"/>
  <c r="P70" i="9"/>
  <c r="P72" i="9"/>
  <c r="N72" i="9"/>
  <c r="P71" i="9"/>
  <c r="N71" i="9"/>
  <c r="P97" i="9"/>
  <c r="P50" i="9"/>
  <c r="N50" i="9"/>
  <c r="P49" i="9"/>
  <c r="N49" i="9"/>
  <c r="P47" i="9"/>
  <c r="P48" i="9"/>
  <c r="N48" i="9"/>
  <c r="N60" i="9"/>
  <c r="P10" i="9"/>
  <c r="N10" i="9"/>
  <c r="P9" i="9"/>
  <c r="N9" i="9"/>
  <c r="P7" i="9"/>
  <c r="P8" i="9"/>
  <c r="N8" i="9"/>
  <c r="P3" i="9"/>
  <c r="P5" i="9"/>
  <c r="N5" i="9"/>
  <c r="P4" i="9"/>
  <c r="N4" i="9"/>
  <c r="N74" i="9"/>
  <c r="N134" i="9"/>
  <c r="P18" i="6"/>
  <c r="N18" i="6"/>
  <c r="P17" i="6"/>
  <c r="N17" i="6"/>
  <c r="P16" i="6"/>
  <c r="N16" i="6"/>
  <c r="P13" i="6"/>
  <c r="N13" i="6"/>
  <c r="P12" i="6"/>
  <c r="N12" i="6"/>
  <c r="P11" i="6"/>
  <c r="N11" i="6"/>
  <c r="P9" i="6"/>
  <c r="N9" i="6"/>
  <c r="P8" i="6"/>
  <c r="N8" i="6"/>
  <c r="P7" i="6"/>
  <c r="N7" i="6"/>
  <c r="P5" i="6"/>
  <c r="N5" i="6"/>
  <c r="P4" i="6"/>
  <c r="N4" i="6"/>
  <c r="N3" i="6"/>
  <c r="P3" i="6"/>
  <c r="P48" i="5"/>
  <c r="P51" i="5"/>
  <c r="N51" i="5"/>
  <c r="P50" i="5"/>
  <c r="N50" i="5"/>
  <c r="P49" i="5"/>
  <c r="N49" i="5"/>
  <c r="P46" i="5"/>
  <c r="N46" i="5"/>
  <c r="P45" i="5"/>
  <c r="N45" i="5"/>
  <c r="P44" i="5"/>
  <c r="N44" i="5"/>
  <c r="P41" i="5"/>
  <c r="N41" i="5"/>
  <c r="N40" i="5"/>
  <c r="P40" i="5"/>
  <c r="N39" i="5"/>
  <c r="P39" i="5"/>
  <c r="P38" i="5"/>
  <c r="N38" i="5"/>
  <c r="P36" i="5"/>
  <c r="N36" i="5"/>
  <c r="P35" i="5"/>
  <c r="N35" i="5"/>
  <c r="P34" i="5"/>
  <c r="N34" i="5"/>
  <c r="P30" i="5"/>
  <c r="N30" i="5"/>
  <c r="P29" i="5"/>
  <c r="N29" i="5"/>
  <c r="P27" i="5"/>
  <c r="P28" i="5"/>
  <c r="N28" i="5"/>
  <c r="P25" i="5"/>
  <c r="N25" i="5"/>
  <c r="P24" i="5"/>
  <c r="N24" i="5"/>
  <c r="P23" i="5"/>
  <c r="N23" i="5"/>
  <c r="P21" i="5"/>
  <c r="N21" i="5"/>
  <c r="P20" i="5"/>
  <c r="N20" i="5"/>
  <c r="P18" i="5"/>
  <c r="P19" i="5"/>
  <c r="N19" i="5"/>
  <c r="P13" i="5"/>
  <c r="P15" i="5"/>
  <c r="N15" i="5"/>
  <c r="P16" i="5"/>
  <c r="N16" i="5"/>
  <c r="P14" i="5"/>
  <c r="N14" i="5"/>
  <c r="P11" i="5"/>
  <c r="N11" i="5"/>
  <c r="P10" i="5"/>
  <c r="N10" i="5"/>
  <c r="N9" i="5"/>
  <c r="P9" i="5"/>
  <c r="P8" i="5"/>
  <c r="N8" i="5"/>
  <c r="N6" i="5"/>
  <c r="P6" i="5"/>
  <c r="P5" i="5"/>
  <c r="N5" i="5"/>
  <c r="N4" i="5"/>
  <c r="P4" i="5"/>
  <c r="P3" i="5"/>
  <c r="N3" i="5"/>
  <c r="P3" i="3"/>
  <c r="P11" i="3"/>
  <c r="N11" i="3"/>
  <c r="P10" i="3"/>
  <c r="N10" i="3"/>
  <c r="P8" i="3"/>
  <c r="P9" i="3"/>
  <c r="N9" i="3"/>
  <c r="P6" i="3"/>
  <c r="N6" i="3"/>
  <c r="P5" i="3"/>
  <c r="N5" i="3"/>
  <c r="P4" i="3"/>
  <c r="N4" i="3"/>
  <c r="P6" i="2"/>
  <c r="N6" i="2"/>
  <c r="P5" i="2"/>
  <c r="N5" i="2"/>
  <c r="N4" i="2"/>
  <c r="P4" i="2"/>
  <c r="N3" i="2"/>
  <c r="P3" i="2"/>
  <c r="P10" i="2"/>
  <c r="N10" i="2"/>
  <c r="P11" i="2"/>
  <c r="N11" i="2"/>
  <c r="P8" i="2"/>
  <c r="P9" i="2"/>
  <c r="N9" i="2"/>
  <c r="P10" i="1"/>
  <c r="N10" i="1"/>
  <c r="P11" i="1"/>
  <c r="N11" i="1"/>
  <c r="P8" i="1"/>
  <c r="P9" i="1"/>
  <c r="N9" i="1"/>
  <c r="P6" i="1"/>
  <c r="N6" i="1"/>
  <c r="P5" i="1"/>
  <c r="N5" i="1"/>
  <c r="P4" i="1"/>
  <c r="N4" i="1"/>
  <c r="P32" i="4"/>
  <c r="N32" i="4"/>
  <c r="P31" i="4"/>
  <c r="N31" i="4"/>
  <c r="P30" i="4"/>
  <c r="N30" i="4"/>
  <c r="L29" i="4"/>
  <c r="P27" i="4"/>
  <c r="N27" i="4"/>
  <c r="P26" i="4"/>
  <c r="N26" i="4"/>
  <c r="P25" i="4"/>
  <c r="N25" i="4"/>
  <c r="P24" i="4"/>
  <c r="N24" i="4"/>
  <c r="P21" i="4"/>
  <c r="N21" i="4"/>
  <c r="P20" i="4"/>
  <c r="N20" i="4"/>
  <c r="P19" i="4"/>
  <c r="N19" i="4"/>
  <c r="P18" i="4"/>
  <c r="N18" i="4"/>
  <c r="P10" i="4"/>
  <c r="P11" i="4"/>
  <c r="P13" i="4"/>
  <c r="N13" i="4"/>
  <c r="P16" i="4"/>
  <c r="N16" i="4"/>
  <c r="N15" i="4"/>
  <c r="P15" i="4"/>
  <c r="P14" i="4"/>
  <c r="N14" i="4"/>
  <c r="N9" i="4"/>
  <c r="P8" i="4"/>
  <c r="N8" i="4"/>
  <c r="P4" i="4"/>
  <c r="N4" i="4"/>
  <c r="N5" i="4"/>
  <c r="P5" i="4"/>
  <c r="N6" i="4"/>
  <c r="P6" i="4"/>
  <c r="N3" i="4"/>
  <c r="P3" i="4"/>
  <c r="P163" i="9"/>
  <c r="N17" i="9"/>
  <c r="N138" i="9"/>
  <c r="P147" i="9"/>
  <c r="P167" i="9"/>
  <c r="N21" i="9"/>
  <c r="N106" i="9"/>
  <c r="P32" i="9"/>
  <c r="P151" i="9"/>
  <c r="P171" i="9"/>
  <c r="N33" i="9"/>
  <c r="N114" i="9"/>
  <c r="N148" i="9"/>
  <c r="P44" i="9"/>
  <c r="P155" i="9"/>
  <c r="P187" i="9"/>
  <c r="N122" i="9"/>
  <c r="N130" i="9"/>
  <c r="N196" i="9"/>
  <c r="P81" i="9"/>
  <c r="N37" i="9"/>
  <c r="N110" i="9"/>
  <c r="N168" i="9"/>
  <c r="N156" i="9"/>
  <c r="P82" i="9"/>
  <c r="N82" i="9"/>
  <c r="N172" i="9"/>
  <c r="P45" i="9"/>
  <c r="N45" i="9"/>
  <c r="P102" i="9"/>
  <c r="N102" i="9"/>
  <c r="P160" i="9"/>
  <c r="N160" i="9"/>
  <c r="P86" i="9"/>
  <c r="N86" i="9"/>
  <c r="P180" i="9"/>
  <c r="N180" i="9"/>
  <c r="P68" i="9"/>
  <c r="N68" i="9"/>
  <c r="P164" i="9"/>
  <c r="N164" i="9"/>
  <c r="P64" i="9"/>
  <c r="N64" i="9"/>
  <c r="P94" i="9"/>
  <c r="N94" i="9"/>
  <c r="P175" i="9"/>
  <c r="P25" i="9"/>
  <c r="N25" i="9"/>
  <c r="P78" i="9"/>
  <c r="N78" i="9"/>
  <c r="P184" i="9"/>
  <c r="N184" i="9"/>
  <c r="P41" i="9"/>
  <c r="N41" i="9"/>
  <c r="P98" i="9"/>
  <c r="N98" i="9"/>
  <c r="P13" i="9"/>
  <c r="N13" i="9"/>
  <c r="P29" i="9"/>
  <c r="N29" i="9"/>
  <c r="P90" i="9"/>
  <c r="N90" i="9"/>
  <c r="P56" i="9"/>
  <c r="N56" i="9"/>
  <c r="P152" i="9"/>
  <c r="N152" i="9"/>
  <c r="N62" i="9"/>
  <c r="P62" i="9"/>
  <c r="P132" i="9"/>
  <c r="P137" i="9"/>
  <c r="N137" i="9"/>
  <c r="P30" i="9"/>
  <c r="N30" i="9"/>
  <c r="P83" i="9"/>
  <c r="P131" i="9"/>
  <c r="N131" i="9"/>
  <c r="P189" i="9"/>
  <c r="P89" i="9"/>
  <c r="N52" i="9"/>
  <c r="N118" i="9"/>
  <c r="N19" i="9"/>
  <c r="P19" i="9"/>
  <c r="N35" i="9"/>
  <c r="P35" i="9"/>
  <c r="N58" i="9"/>
  <c r="P58" i="9"/>
  <c r="N80" i="9"/>
  <c r="P80" i="9"/>
  <c r="P96" i="9"/>
  <c r="N112" i="9"/>
  <c r="P112" i="9"/>
  <c r="N128" i="9"/>
  <c r="P128" i="9"/>
  <c r="N146" i="9"/>
  <c r="P146" i="9"/>
  <c r="P162" i="9"/>
  <c r="P178" i="9"/>
  <c r="P194" i="9"/>
  <c r="P16" i="9"/>
  <c r="N16" i="9"/>
  <c r="P51" i="9"/>
  <c r="P67" i="9"/>
  <c r="N85" i="9"/>
  <c r="P85" i="9"/>
  <c r="N101" i="9"/>
  <c r="P101" i="9"/>
  <c r="N117" i="9"/>
  <c r="P117" i="9"/>
  <c r="N133" i="9"/>
  <c r="P133" i="9"/>
  <c r="P26" i="9"/>
  <c r="N26" i="9"/>
  <c r="P42" i="9"/>
  <c r="P61" i="9"/>
  <c r="P79" i="9"/>
  <c r="P95" i="9"/>
  <c r="N95" i="9"/>
  <c r="P111" i="9"/>
  <c r="N111" i="9"/>
  <c r="P127" i="9"/>
  <c r="N127" i="9"/>
  <c r="N145" i="9"/>
  <c r="P145" i="9"/>
  <c r="P161" i="9"/>
  <c r="N161" i="9"/>
  <c r="P177" i="9"/>
  <c r="N177" i="9"/>
  <c r="N39" i="9"/>
  <c r="P39" i="9"/>
  <c r="N84" i="9"/>
  <c r="P84" i="9"/>
  <c r="N116" i="9"/>
  <c r="P116" i="9"/>
  <c r="P150" i="9"/>
  <c r="P182" i="9"/>
  <c r="P159" i="9"/>
  <c r="P191" i="9"/>
  <c r="P65" i="9"/>
  <c r="N65" i="9"/>
  <c r="P115" i="9"/>
  <c r="N115" i="9"/>
  <c r="P165" i="9"/>
  <c r="P73" i="9"/>
  <c r="P121" i="9"/>
  <c r="N126" i="9"/>
  <c r="N144" i="9"/>
  <c r="N176" i="9"/>
  <c r="N11" i="9"/>
  <c r="P11" i="9"/>
  <c r="N27" i="9"/>
  <c r="P27" i="9"/>
  <c r="P43" i="9"/>
  <c r="P66" i="9"/>
  <c r="P88" i="9"/>
  <c r="N104" i="9"/>
  <c r="P104" i="9"/>
  <c r="P120" i="9"/>
  <c r="N120" i="9"/>
  <c r="N136" i="9"/>
  <c r="P136" i="9"/>
  <c r="P154" i="9"/>
  <c r="N170" i="9"/>
  <c r="P170" i="9"/>
  <c r="N186" i="9"/>
  <c r="P186" i="9"/>
  <c r="P24" i="9"/>
  <c r="N24" i="9"/>
  <c r="P40" i="9"/>
  <c r="P59" i="9"/>
  <c r="N59" i="9"/>
  <c r="N77" i="9"/>
  <c r="P77" i="9"/>
  <c r="N93" i="9"/>
  <c r="P93" i="9"/>
  <c r="P109" i="9"/>
  <c r="N125" i="9"/>
  <c r="P125" i="9"/>
  <c r="N179" i="9"/>
  <c r="P179" i="9"/>
  <c r="P199" i="9"/>
  <c r="N199" i="9"/>
  <c r="P18" i="9"/>
  <c r="N18" i="9"/>
  <c r="P34" i="9"/>
  <c r="N34" i="9"/>
  <c r="P53" i="9"/>
  <c r="N53" i="9"/>
  <c r="P69" i="9"/>
  <c r="P87" i="9"/>
  <c r="N87" i="9"/>
  <c r="P103" i="9"/>
  <c r="P119" i="9"/>
  <c r="N119" i="9"/>
  <c r="P135" i="9"/>
  <c r="N135" i="9"/>
  <c r="P153" i="9"/>
  <c r="P169" i="9"/>
  <c r="N169" i="9"/>
  <c r="P193" i="9"/>
  <c r="N193" i="9"/>
  <c r="N23" i="9"/>
  <c r="P23" i="9"/>
  <c r="P100" i="9"/>
  <c r="N166" i="9"/>
  <c r="P166" i="9"/>
  <c r="N36" i="9"/>
  <c r="P36" i="9"/>
  <c r="P55" i="9"/>
  <c r="N105" i="9"/>
  <c r="P105" i="9"/>
  <c r="P14" i="9"/>
  <c r="P46" i="9"/>
  <c r="N46" i="9"/>
  <c r="P99" i="9"/>
  <c r="N99" i="9"/>
  <c r="P149" i="9"/>
  <c r="P20" i="9"/>
  <c r="N15" i="9"/>
  <c r="P15" i="9"/>
  <c r="N31" i="9"/>
  <c r="P31" i="9"/>
  <c r="N54" i="9"/>
  <c r="P54" i="9"/>
  <c r="P76" i="9"/>
  <c r="P92" i="9"/>
  <c r="P108" i="9"/>
  <c r="N124" i="9"/>
  <c r="P124" i="9"/>
  <c r="N140" i="9"/>
  <c r="P140" i="9"/>
  <c r="N158" i="9"/>
  <c r="P158" i="9"/>
  <c r="N174" i="9"/>
  <c r="P174" i="9"/>
  <c r="P190" i="9"/>
  <c r="P12" i="9"/>
  <c r="N12" i="9"/>
  <c r="P28" i="9"/>
  <c r="P63" i="9"/>
  <c r="N63" i="9"/>
  <c r="N113" i="9"/>
  <c r="P113" i="9"/>
  <c r="P129" i="9"/>
  <c r="P183" i="9"/>
  <c r="N22" i="9"/>
  <c r="P22" i="9"/>
  <c r="P38" i="9"/>
  <c r="N38" i="9"/>
  <c r="P57" i="9"/>
  <c r="N57" i="9"/>
  <c r="P75" i="9"/>
  <c r="N75" i="9"/>
  <c r="P91" i="9"/>
  <c r="P107" i="9"/>
  <c r="N123" i="9"/>
  <c r="P123" i="9"/>
  <c r="P139" i="9"/>
  <c r="N139" i="9"/>
  <c r="P157" i="9"/>
  <c r="P173" i="9"/>
  <c r="N173" i="9"/>
  <c r="P197" i="9"/>
  <c r="N6" i="9"/>
  <c r="P6" i="9"/>
  <c r="L2" i="9"/>
  <c r="N2" i="9" s="1"/>
  <c r="P29" i="4"/>
  <c r="N29" i="4"/>
  <c r="L35" i="8"/>
  <c r="L23" i="8"/>
  <c r="L38" i="8"/>
  <c r="L30" i="8"/>
  <c r="L18" i="8"/>
  <c r="L41" i="8"/>
  <c r="L37" i="8"/>
  <c r="L33" i="8"/>
  <c r="L29" i="8"/>
  <c r="L25" i="8"/>
  <c r="L21" i="8"/>
  <c r="L17" i="8"/>
  <c r="L39" i="8"/>
  <c r="L31" i="8"/>
  <c r="L34" i="8"/>
  <c r="L26" i="8"/>
  <c r="L22" i="8"/>
  <c r="L14" i="8"/>
  <c r="L40" i="8"/>
  <c r="L36" i="8"/>
  <c r="L32" i="8"/>
  <c r="L28" i="8"/>
  <c r="L24" i="8"/>
  <c r="L20" i="8"/>
  <c r="L16" i="8"/>
  <c r="L27" i="8"/>
  <c r="L19" i="8"/>
  <c r="L15" i="8"/>
  <c r="L7" i="8"/>
  <c r="P13" i="8"/>
  <c r="N13" i="8"/>
  <c r="N12" i="8"/>
  <c r="P12" i="8"/>
  <c r="N11" i="8"/>
  <c r="K10" i="8"/>
  <c r="L10" i="8" s="1"/>
  <c r="K9" i="8"/>
  <c r="L9" i="8" s="1"/>
  <c r="K8" i="8"/>
  <c r="L8" i="8" s="1"/>
  <c r="K7" i="8"/>
  <c r="K6" i="8"/>
  <c r="L6" i="8" s="1"/>
  <c r="K5" i="8"/>
  <c r="L5" i="8" s="1"/>
  <c r="K4" i="8"/>
  <c r="L4" i="8" s="1"/>
  <c r="K3" i="8"/>
  <c r="L3" i="8" s="1"/>
  <c r="K2" i="8"/>
  <c r="O33" i="7"/>
  <c r="M33" i="7"/>
  <c r="O4" i="7"/>
  <c r="M4" i="7"/>
  <c r="O28" i="7"/>
  <c r="O36" i="7"/>
  <c r="O38" i="7"/>
  <c r="O14" i="7"/>
  <c r="O22" i="7"/>
  <c r="O11" i="7"/>
  <c r="O19" i="7"/>
  <c r="M32" i="7"/>
  <c r="M3" i="7"/>
  <c r="M28" i="7"/>
  <c r="M36" i="7"/>
  <c r="M38" i="7"/>
  <c r="M14" i="7"/>
  <c r="M22" i="7"/>
  <c r="M11" i="7"/>
  <c r="M19" i="7"/>
  <c r="K47" i="7"/>
  <c r="K40" i="7"/>
  <c r="O66" i="5"/>
  <c r="O92" i="5"/>
  <c r="O130" i="5"/>
  <c r="O72" i="5"/>
  <c r="O96" i="5"/>
  <c r="O137" i="5"/>
  <c r="O166" i="5"/>
  <c r="O191" i="5"/>
  <c r="O184" i="5"/>
  <c r="O64" i="5"/>
  <c r="O163" i="5"/>
  <c r="O188" i="5"/>
  <c r="O56" i="5"/>
  <c r="O156" i="5"/>
  <c r="O180" i="5"/>
  <c r="O139" i="5"/>
  <c r="O76" i="5"/>
  <c r="O167" i="5"/>
  <c r="O192" i="5"/>
  <c r="O122" i="5"/>
  <c r="O88" i="5"/>
  <c r="O67" i="5"/>
  <c r="O93" i="5"/>
  <c r="O131" i="5"/>
  <c r="O152" i="5"/>
  <c r="O98" i="5"/>
  <c r="O63" i="5"/>
  <c r="O161" i="5"/>
  <c r="O54" i="5"/>
  <c r="O186" i="5"/>
  <c r="O85" i="5"/>
  <c r="O117" i="5"/>
  <c r="O68" i="5"/>
  <c r="O94" i="5"/>
  <c r="O164" i="5"/>
  <c r="O189" i="5"/>
  <c r="O179" i="5"/>
  <c r="O100" i="5"/>
  <c r="O104" i="5"/>
  <c r="O168" i="5"/>
  <c r="O193" i="5"/>
  <c r="O102" i="5"/>
  <c r="O133" i="5"/>
  <c r="O150" i="5"/>
  <c r="O70" i="5"/>
  <c r="O135" i="5"/>
  <c r="O113" i="5"/>
  <c r="O74" i="5"/>
  <c r="O141" i="5"/>
  <c r="O169" i="5"/>
  <c r="O194" i="5"/>
  <c r="M66" i="5"/>
  <c r="M92" i="5"/>
  <c r="M130" i="5"/>
  <c r="M72" i="5"/>
  <c r="M96" i="5"/>
  <c r="M137" i="5"/>
  <c r="M166" i="5"/>
  <c r="M191" i="5"/>
  <c r="M184" i="5"/>
  <c r="M64" i="5"/>
  <c r="M163" i="5"/>
  <c r="M188" i="5"/>
  <c r="M56" i="5"/>
  <c r="M156" i="5"/>
  <c r="M180" i="5"/>
  <c r="M139" i="5"/>
  <c r="M76" i="5"/>
  <c r="M167" i="5"/>
  <c r="M192" i="5"/>
  <c r="M122" i="5"/>
  <c r="M88" i="5"/>
  <c r="M67" i="5"/>
  <c r="M93" i="5"/>
  <c r="M131" i="5"/>
  <c r="M152" i="5"/>
  <c r="M98" i="5"/>
  <c r="M63" i="5"/>
  <c r="M161" i="5"/>
  <c r="M54" i="5"/>
  <c r="M186" i="5"/>
  <c r="M85" i="5"/>
  <c r="M117" i="5"/>
  <c r="M68" i="5"/>
  <c r="M94" i="5"/>
  <c r="M164" i="5"/>
  <c r="M189" i="5"/>
  <c r="M179" i="5"/>
  <c r="M100" i="5"/>
  <c r="M104" i="5"/>
  <c r="M168" i="5"/>
  <c r="M193" i="5"/>
  <c r="M102" i="5"/>
  <c r="M133" i="5"/>
  <c r="M150" i="5"/>
  <c r="M70" i="5"/>
  <c r="M135" i="5"/>
  <c r="M113" i="5"/>
  <c r="M74" i="5"/>
  <c r="M141" i="5"/>
  <c r="M169" i="5"/>
  <c r="M194" i="5"/>
  <c r="J47" i="7"/>
  <c r="J35" i="7"/>
  <c r="J18" i="7"/>
  <c r="J9" i="7"/>
  <c r="J26" i="7"/>
  <c r="J17" i="7"/>
  <c r="J30" i="7"/>
  <c r="J27" i="7"/>
  <c r="J44" i="7"/>
  <c r="J19" i="7"/>
  <c r="J40" i="7"/>
  <c r="J22" i="7"/>
  <c r="J2" i="8"/>
  <c r="J10" i="7"/>
  <c r="J36" i="7"/>
  <c r="J38" i="7"/>
  <c r="J11" i="7"/>
  <c r="J46" i="7"/>
  <c r="J43" i="7"/>
  <c r="J3" i="7"/>
  <c r="J23" i="7"/>
  <c r="J32" i="7"/>
  <c r="J20" i="7"/>
  <c r="J6" i="7"/>
  <c r="J41" i="7"/>
  <c r="J31" i="7"/>
  <c r="J34" i="7"/>
  <c r="J45" i="7"/>
  <c r="J2" i="7"/>
  <c r="J37" i="7"/>
  <c r="J7" i="7"/>
  <c r="J16" i="7"/>
  <c r="J4" i="7"/>
  <c r="J24" i="7"/>
  <c r="J29" i="7"/>
  <c r="J39" i="7"/>
  <c r="J21" i="7"/>
  <c r="J5" i="7"/>
  <c r="J42" i="7"/>
  <c r="J14" i="7"/>
  <c r="J8" i="7"/>
  <c r="J25" i="7"/>
  <c r="J13" i="7"/>
  <c r="J33" i="7"/>
  <c r="J28" i="7"/>
  <c r="J12" i="7"/>
  <c r="J15" i="7"/>
  <c r="N200" i="9" l="1"/>
  <c r="C11" i="10" s="1"/>
  <c r="P2" i="9"/>
  <c r="P200" i="9" s="1"/>
  <c r="B11" i="10" s="1"/>
  <c r="E11" i="10" s="1"/>
  <c r="P7" i="8"/>
  <c r="N7" i="8"/>
  <c r="N24" i="8"/>
  <c r="P24" i="8"/>
  <c r="N40" i="8"/>
  <c r="P40" i="8"/>
  <c r="N5" i="8"/>
  <c r="P5" i="8"/>
  <c r="N25" i="8"/>
  <c r="P25" i="8"/>
  <c r="N41" i="8"/>
  <c r="P41" i="8"/>
  <c r="P3" i="8"/>
  <c r="N3" i="8"/>
  <c r="P27" i="8"/>
  <c r="N27" i="8"/>
  <c r="N20" i="8"/>
  <c r="P20" i="8"/>
  <c r="N36" i="8"/>
  <c r="P36" i="8"/>
  <c r="N22" i="8"/>
  <c r="P22" i="8"/>
  <c r="P39" i="8"/>
  <c r="N39" i="8"/>
  <c r="N21" i="8"/>
  <c r="P21" i="8"/>
  <c r="P37" i="8"/>
  <c r="N37" i="8"/>
  <c r="P30" i="8"/>
  <c r="N30" i="8"/>
  <c r="P15" i="8"/>
  <c r="N15" i="8"/>
  <c r="N8" i="8"/>
  <c r="P8" i="8"/>
  <c r="N28" i="8"/>
  <c r="P28" i="8"/>
  <c r="P6" i="8"/>
  <c r="N6" i="8"/>
  <c r="N34" i="8"/>
  <c r="P34" i="8"/>
  <c r="N9" i="8"/>
  <c r="P9" i="8"/>
  <c r="N29" i="8"/>
  <c r="P29" i="8"/>
  <c r="N10" i="8"/>
  <c r="P10" i="8"/>
  <c r="P23" i="8"/>
  <c r="N23" i="8"/>
  <c r="N4" i="8"/>
  <c r="P4" i="8"/>
  <c r="N26" i="8"/>
  <c r="P26" i="8"/>
  <c r="N38" i="8"/>
  <c r="P38" i="8"/>
  <c r="P19" i="8"/>
  <c r="N19" i="8"/>
  <c r="N16" i="8"/>
  <c r="P16" i="8"/>
  <c r="N32" i="8"/>
  <c r="P32" i="8"/>
  <c r="N14" i="8"/>
  <c r="P14" i="8"/>
  <c r="P31" i="8"/>
  <c r="N31" i="8"/>
  <c r="N17" i="8"/>
  <c r="P17" i="8"/>
  <c r="N33" i="8"/>
  <c r="P33" i="8"/>
  <c r="P18" i="8"/>
  <c r="N18" i="8"/>
  <c r="P35" i="8"/>
  <c r="N35" i="8"/>
  <c r="L2" i="8"/>
  <c r="L46" i="7"/>
  <c r="N46" i="7" s="1"/>
  <c r="L34" i="7"/>
  <c r="N34" i="7" s="1"/>
  <c r="L22" i="7"/>
  <c r="N22" i="7" s="1"/>
  <c r="L6" i="7"/>
  <c r="N6" i="7" s="1"/>
  <c r="L45" i="7"/>
  <c r="L41" i="7"/>
  <c r="L37" i="7"/>
  <c r="L33" i="7"/>
  <c r="L29" i="7"/>
  <c r="L25" i="7"/>
  <c r="L21" i="7"/>
  <c r="L17" i="7"/>
  <c r="P17" i="7" s="1"/>
  <c r="L13" i="7"/>
  <c r="P13" i="7" s="1"/>
  <c r="L9" i="7"/>
  <c r="L5" i="7"/>
  <c r="L38" i="7"/>
  <c r="N38" i="7" s="1"/>
  <c r="L26" i="7"/>
  <c r="N26" i="7" s="1"/>
  <c r="L10" i="7"/>
  <c r="N10" i="7" s="1"/>
  <c r="L44" i="7"/>
  <c r="L40" i="7"/>
  <c r="L36" i="7"/>
  <c r="L32" i="7"/>
  <c r="L28" i="7"/>
  <c r="L24" i="7"/>
  <c r="L20" i="7"/>
  <c r="L16" i="7"/>
  <c r="L12" i="7"/>
  <c r="L8" i="7"/>
  <c r="L4" i="7"/>
  <c r="L42" i="7"/>
  <c r="N42" i="7" s="1"/>
  <c r="L30" i="7"/>
  <c r="N30" i="7" s="1"/>
  <c r="L18" i="7"/>
  <c r="N18" i="7" s="1"/>
  <c r="L14" i="7"/>
  <c r="N14" i="7" s="1"/>
  <c r="L47" i="7"/>
  <c r="L43" i="7"/>
  <c r="L39" i="7"/>
  <c r="L35" i="7"/>
  <c r="L31" i="7"/>
  <c r="L27" i="7"/>
  <c r="L23" i="7"/>
  <c r="L19" i="7"/>
  <c r="L15" i="7"/>
  <c r="L11" i="7"/>
  <c r="L7" i="7"/>
  <c r="L3" i="7"/>
  <c r="P34" i="7"/>
  <c r="L2" i="7"/>
  <c r="O31" i="6"/>
  <c r="O40" i="6"/>
  <c r="O52" i="6"/>
  <c r="O56" i="6"/>
  <c r="O24" i="6"/>
  <c r="O55" i="6"/>
  <c r="O33" i="6"/>
  <c r="O35" i="6"/>
  <c r="O42" i="6"/>
  <c r="O44" i="6"/>
  <c r="O49" i="6"/>
  <c r="O51" i="6"/>
  <c r="O58" i="6"/>
  <c r="O60" i="6"/>
  <c r="O62" i="6"/>
  <c r="O54" i="6"/>
  <c r="O63" i="6"/>
  <c r="M31" i="6"/>
  <c r="M40" i="6"/>
  <c r="M52" i="6"/>
  <c r="M56" i="6"/>
  <c r="M24" i="6"/>
  <c r="M55" i="6"/>
  <c r="M33" i="6"/>
  <c r="M35" i="6"/>
  <c r="M42" i="6"/>
  <c r="M44" i="6"/>
  <c r="M49" i="6"/>
  <c r="M51" i="6"/>
  <c r="M58" i="6"/>
  <c r="M60" i="6"/>
  <c r="M62" i="6"/>
  <c r="M54" i="6"/>
  <c r="M63" i="6"/>
  <c r="J56" i="6"/>
  <c r="J22" i="6"/>
  <c r="J63" i="6"/>
  <c r="J14" i="6"/>
  <c r="J44" i="6"/>
  <c r="J23" i="6"/>
  <c r="J29" i="6"/>
  <c r="J30" i="6"/>
  <c r="J20" i="6"/>
  <c r="J40" i="6"/>
  <c r="J53" i="6"/>
  <c r="J71" i="6"/>
  <c r="J74" i="6"/>
  <c r="J68" i="6"/>
  <c r="J62" i="6"/>
  <c r="J25" i="6"/>
  <c r="J33" i="6"/>
  <c r="J26" i="6"/>
  <c r="J41" i="6"/>
  <c r="J55" i="6"/>
  <c r="J42" i="6"/>
  <c r="J52" i="6"/>
  <c r="J72" i="6"/>
  <c r="J46" i="6"/>
  <c r="J49" i="6"/>
  <c r="J60" i="6"/>
  <c r="J28" i="6"/>
  <c r="J6" i="6"/>
  <c r="J45" i="6"/>
  <c r="J59" i="6"/>
  <c r="J64" i="6"/>
  <c r="J61" i="6"/>
  <c r="J32" i="6"/>
  <c r="J21" i="6"/>
  <c r="J69" i="6"/>
  <c r="J65" i="6"/>
  <c r="J10" i="6"/>
  <c r="J54" i="6"/>
  <c r="J48" i="6"/>
  <c r="J50" i="6"/>
  <c r="J70" i="6"/>
  <c r="J31" i="6"/>
  <c r="J67" i="6"/>
  <c r="J36" i="6"/>
  <c r="J19" i="6"/>
  <c r="J38" i="6"/>
  <c r="J58" i="6"/>
  <c r="J35" i="6"/>
  <c r="J43" i="6"/>
  <c r="J51" i="6"/>
  <c r="J37" i="6"/>
  <c r="J2" i="6"/>
  <c r="J34" i="6"/>
  <c r="J39" i="6"/>
  <c r="J73" i="6"/>
  <c r="J27" i="6"/>
  <c r="J24" i="6"/>
  <c r="J66" i="6"/>
  <c r="J57" i="6"/>
  <c r="J47" i="6"/>
  <c r="P18" i="7" l="1"/>
  <c r="P10" i="7"/>
  <c r="P6" i="7"/>
  <c r="P38" i="7"/>
  <c r="N17" i="7"/>
  <c r="P14" i="7"/>
  <c r="P2" i="8"/>
  <c r="P42" i="8" s="1"/>
  <c r="B10" i="10" s="1"/>
  <c r="E10" i="10" s="1"/>
  <c r="N2" i="8"/>
  <c r="N42" i="8" s="1"/>
  <c r="C10" i="10" s="1"/>
  <c r="P30" i="7"/>
  <c r="N13" i="7"/>
  <c r="P26" i="7"/>
  <c r="P46" i="7"/>
  <c r="N31" i="7"/>
  <c r="P31" i="7"/>
  <c r="N16" i="7"/>
  <c r="P16" i="7"/>
  <c r="N5" i="7"/>
  <c r="P5" i="7"/>
  <c r="N21" i="7"/>
  <c r="P21" i="7"/>
  <c r="P42" i="7"/>
  <c r="P11" i="7"/>
  <c r="N11" i="7"/>
  <c r="P27" i="7"/>
  <c r="N27" i="7"/>
  <c r="P43" i="7"/>
  <c r="N43" i="7"/>
  <c r="N12" i="7"/>
  <c r="P12" i="7"/>
  <c r="N28" i="7"/>
  <c r="P28" i="7"/>
  <c r="N44" i="7"/>
  <c r="P44" i="7"/>
  <c r="N33" i="7"/>
  <c r="P33" i="7"/>
  <c r="P3" i="7"/>
  <c r="N3" i="7"/>
  <c r="N19" i="7"/>
  <c r="P19" i="7"/>
  <c r="P35" i="7"/>
  <c r="N35" i="7"/>
  <c r="N4" i="7"/>
  <c r="P4" i="7"/>
  <c r="N20" i="7"/>
  <c r="P20" i="7"/>
  <c r="N36" i="7"/>
  <c r="P36" i="7"/>
  <c r="N9" i="7"/>
  <c r="P9" i="7"/>
  <c r="N25" i="7"/>
  <c r="P25" i="7"/>
  <c r="N41" i="7"/>
  <c r="P41" i="7"/>
  <c r="P15" i="7"/>
  <c r="N15" i="7"/>
  <c r="N47" i="7"/>
  <c r="P47" i="7"/>
  <c r="N32" i="7"/>
  <c r="P32" i="7"/>
  <c r="N37" i="7"/>
  <c r="P37" i="7"/>
  <c r="P22" i="7"/>
  <c r="P7" i="7"/>
  <c r="N7" i="7"/>
  <c r="P23" i="7"/>
  <c r="N23" i="7"/>
  <c r="N39" i="7"/>
  <c r="P39" i="7"/>
  <c r="N8" i="7"/>
  <c r="P8" i="7"/>
  <c r="N24" i="7"/>
  <c r="P24" i="7"/>
  <c r="N40" i="7"/>
  <c r="P40" i="7"/>
  <c r="N29" i="7"/>
  <c r="P29" i="7"/>
  <c r="P45" i="7"/>
  <c r="N45" i="7"/>
  <c r="P2" i="7"/>
  <c r="N2" i="7"/>
  <c r="L65" i="6"/>
  <c r="L53" i="6"/>
  <c r="L45" i="6"/>
  <c r="L33" i="6"/>
  <c r="L25" i="6"/>
  <c r="L10" i="6"/>
  <c r="L72" i="6"/>
  <c r="L68" i="6"/>
  <c r="L64" i="6"/>
  <c r="L60" i="6"/>
  <c r="L56" i="6"/>
  <c r="L52" i="6"/>
  <c r="L48" i="6"/>
  <c r="L44" i="6"/>
  <c r="L40" i="6"/>
  <c r="L36" i="6"/>
  <c r="L32" i="6"/>
  <c r="L28" i="6"/>
  <c r="L24" i="6"/>
  <c r="L20" i="6"/>
  <c r="L6" i="6"/>
  <c r="L73" i="6"/>
  <c r="L57" i="6"/>
  <c r="L49" i="6"/>
  <c r="L37" i="6"/>
  <c r="L29" i="6"/>
  <c r="L21" i="6"/>
  <c r="L71" i="6"/>
  <c r="L67" i="6"/>
  <c r="L63" i="6"/>
  <c r="L59" i="6"/>
  <c r="L55" i="6"/>
  <c r="L51" i="6"/>
  <c r="L47" i="6"/>
  <c r="L43" i="6"/>
  <c r="L39" i="6"/>
  <c r="L35" i="6"/>
  <c r="L31" i="6"/>
  <c r="L27" i="6"/>
  <c r="L23" i="6"/>
  <c r="L19" i="6"/>
  <c r="L2" i="6"/>
  <c r="L69" i="6"/>
  <c r="L61" i="6"/>
  <c r="L41" i="6"/>
  <c r="L74" i="6"/>
  <c r="L70" i="6"/>
  <c r="L66" i="6"/>
  <c r="L62" i="6"/>
  <c r="L58" i="6"/>
  <c r="L54" i="6"/>
  <c r="L50" i="6"/>
  <c r="L46" i="6"/>
  <c r="L42" i="6"/>
  <c r="L38" i="6"/>
  <c r="L34" i="6"/>
  <c r="L30" i="6"/>
  <c r="L26" i="6"/>
  <c r="L22" i="6"/>
  <c r="L14" i="6"/>
  <c r="M37" i="4"/>
  <c r="O71" i="4"/>
  <c r="M71" i="4"/>
  <c r="O84" i="4"/>
  <c r="M84" i="4"/>
  <c r="M78" i="4"/>
  <c r="M81" i="4"/>
  <c r="O37" i="4"/>
  <c r="O38" i="4"/>
  <c r="M38" i="4"/>
  <c r="O48" i="4"/>
  <c r="M48" i="4"/>
  <c r="O36" i="4"/>
  <c r="M36" i="4"/>
  <c r="M82" i="4"/>
  <c r="M79" i="4"/>
  <c r="O28" i="4"/>
  <c r="M28" i="4"/>
  <c r="O80" i="4"/>
  <c r="O82" i="4"/>
  <c r="O81" i="4"/>
  <c r="O79" i="4"/>
  <c r="O78" i="4"/>
  <c r="O19" i="3"/>
  <c r="O14" i="3"/>
  <c r="M19" i="3"/>
  <c r="M14" i="3"/>
  <c r="O13" i="3"/>
  <c r="M13" i="3"/>
  <c r="J74" i="5"/>
  <c r="J95" i="5"/>
  <c r="J76" i="5"/>
  <c r="J208" i="5"/>
  <c r="J67" i="5"/>
  <c r="J103" i="5"/>
  <c r="J116" i="5"/>
  <c r="J61" i="5"/>
  <c r="J86" i="5"/>
  <c r="J123" i="5"/>
  <c r="J145" i="5"/>
  <c r="J165" i="5"/>
  <c r="J220" i="5"/>
  <c r="J219" i="5"/>
  <c r="J144" i="5"/>
  <c r="J212" i="5"/>
  <c r="J87" i="5"/>
  <c r="J213" i="5"/>
  <c r="J136" i="5"/>
  <c r="J204" i="5"/>
  <c r="J201" i="5"/>
  <c r="J226" i="5"/>
  <c r="J184" i="5"/>
  <c r="J75" i="5"/>
  <c r="J167" i="5"/>
  <c r="J191" i="5"/>
  <c r="J163" i="5"/>
  <c r="J93" i="5"/>
  <c r="J183" i="5"/>
  <c r="J58" i="5"/>
  <c r="J79" i="5"/>
  <c r="J215" i="5"/>
  <c r="J152" i="5"/>
  <c r="J224" i="5"/>
  <c r="J71" i="5"/>
  <c r="J68" i="5"/>
  <c r="J148" i="5"/>
  <c r="J70" i="5"/>
  <c r="J107" i="5"/>
  <c r="J216" i="5"/>
  <c r="J151" i="5"/>
  <c r="J99" i="5"/>
  <c r="J157" i="5"/>
  <c r="J47" i="5"/>
  <c r="J31" i="5"/>
  <c r="J12" i="5"/>
  <c r="J84" i="4"/>
  <c r="J63" i="4"/>
  <c r="J66" i="4"/>
  <c r="J72" i="4"/>
  <c r="J43" i="4"/>
  <c r="J39" i="4"/>
  <c r="J81" i="4"/>
  <c r="J35" i="4"/>
  <c r="J58" i="4"/>
  <c r="J44" i="4"/>
  <c r="J36" i="4"/>
  <c r="J65" i="4"/>
  <c r="J60" i="4"/>
  <c r="J68" i="4"/>
  <c r="J113" i="5"/>
  <c r="J138" i="5"/>
  <c r="J159" i="5"/>
  <c r="J69" i="5"/>
  <c r="J110" i="5"/>
  <c r="J131" i="5"/>
  <c r="J57" i="5"/>
  <c r="J82" i="5"/>
  <c r="J125" i="5"/>
  <c r="J150" i="5"/>
  <c r="J187" i="5"/>
  <c r="J200" i="5"/>
  <c r="J206" i="5"/>
  <c r="J92" i="5"/>
  <c r="J65" i="5"/>
  <c r="J90" i="5"/>
  <c r="J111" i="5"/>
  <c r="J120" i="5"/>
  <c r="J62" i="5"/>
  <c r="J83" i="5"/>
  <c r="J135" i="5"/>
  <c r="J172" i="5"/>
  <c r="J77" i="5"/>
  <c r="J102" i="5"/>
  <c r="J139" i="5"/>
  <c r="J209" i="5"/>
  <c r="J168" i="5"/>
  <c r="J199" i="5"/>
  <c r="J54" i="5"/>
  <c r="J97" i="5"/>
  <c r="J122" i="5"/>
  <c r="J143" i="5"/>
  <c r="J53" i="5"/>
  <c r="J94" i="5"/>
  <c r="J115" i="5"/>
  <c r="J52" i="5"/>
  <c r="J66" i="5"/>
  <c r="J109" i="5"/>
  <c r="J134" i="5"/>
  <c r="J171" i="5"/>
  <c r="J81" i="5"/>
  <c r="J101" i="5"/>
  <c r="J188" i="5"/>
  <c r="J118" i="5"/>
  <c r="J42" i="5"/>
  <c r="J26" i="5"/>
  <c r="J7" i="5"/>
  <c r="J69" i="4"/>
  <c r="J46" i="4"/>
  <c r="J33" i="4"/>
  <c r="J17" i="4"/>
  <c r="J59" i="4"/>
  <c r="J37" i="4"/>
  <c r="J64" i="4"/>
  <c r="J75" i="4"/>
  <c r="J28" i="4"/>
  <c r="J61" i="4"/>
  <c r="J52" i="4"/>
  <c r="J71" i="4"/>
  <c r="J45" i="4"/>
  <c r="J38" i="4"/>
  <c r="J67" i="4"/>
  <c r="J177" i="5"/>
  <c r="J202" i="5"/>
  <c r="J223" i="5"/>
  <c r="J133" i="5"/>
  <c r="J174" i="5"/>
  <c r="J195" i="5"/>
  <c r="J121" i="5"/>
  <c r="J146" i="5"/>
  <c r="J189" i="5"/>
  <c r="J214" i="5"/>
  <c r="J88" i="5"/>
  <c r="J64" i="5"/>
  <c r="J72" i="5"/>
  <c r="J221" i="5"/>
  <c r="J129" i="5"/>
  <c r="J154" i="5"/>
  <c r="J175" i="5"/>
  <c r="J85" i="5"/>
  <c r="J126" i="5"/>
  <c r="J147" i="5"/>
  <c r="J73" i="5"/>
  <c r="J98" i="5"/>
  <c r="J141" i="5"/>
  <c r="J166" i="5"/>
  <c r="J203" i="5"/>
  <c r="J106" i="5"/>
  <c r="J78" i="5"/>
  <c r="J153" i="5"/>
  <c r="J160" i="5"/>
  <c r="J161" i="5"/>
  <c r="J186" i="5"/>
  <c r="J207" i="5"/>
  <c r="J117" i="5"/>
  <c r="J158" i="5"/>
  <c r="J179" i="5"/>
  <c r="J105" i="5"/>
  <c r="J130" i="5"/>
  <c r="J173" i="5"/>
  <c r="J198" i="5"/>
  <c r="J56" i="5"/>
  <c r="J170" i="5"/>
  <c r="J108" i="5"/>
  <c r="J217" i="5"/>
  <c r="J91" i="5"/>
  <c r="J37" i="5"/>
  <c r="J22" i="5"/>
  <c r="J2" i="5"/>
  <c r="J34" i="4"/>
  <c r="J62" i="4"/>
  <c r="J55" i="4"/>
  <c r="J83" i="4"/>
  <c r="J82" i="4"/>
  <c r="J56" i="4"/>
  <c r="J80" i="4"/>
  <c r="J2" i="4"/>
  <c r="J57" i="4"/>
  <c r="J50" i="4"/>
  <c r="J41" i="4"/>
  <c r="J40" i="4"/>
  <c r="J23" i="4"/>
  <c r="J54" i="4"/>
  <c r="J51" i="4"/>
  <c r="J100" i="5"/>
  <c r="J164" i="5"/>
  <c r="J192" i="5"/>
  <c r="J197" i="5"/>
  <c r="J80" i="5"/>
  <c r="J156" i="5"/>
  <c r="J185" i="5"/>
  <c r="J210" i="5"/>
  <c r="J128" i="5"/>
  <c r="J59" i="5"/>
  <c r="J119" i="5"/>
  <c r="J96" i="5"/>
  <c r="J89" i="5"/>
  <c r="J182" i="5"/>
  <c r="J193" i="5"/>
  <c r="J218" i="5"/>
  <c r="J60" i="5"/>
  <c r="J149" i="5"/>
  <c r="J190" i="5"/>
  <c r="J211" i="5"/>
  <c r="J137" i="5"/>
  <c r="J162" i="5"/>
  <c r="J205" i="5"/>
  <c r="J112" i="5"/>
  <c r="J132" i="5"/>
  <c r="J63" i="5"/>
  <c r="J176" i="5"/>
  <c r="J114" i="5"/>
  <c r="J155" i="5"/>
  <c r="J225" i="5"/>
  <c r="J124" i="5"/>
  <c r="J140" i="5"/>
  <c r="J181" i="5"/>
  <c r="J222" i="5"/>
  <c r="J104" i="5"/>
  <c r="J169" i="5"/>
  <c r="J194" i="5"/>
  <c r="J84" i="5"/>
  <c r="J196" i="5"/>
  <c r="J55" i="5"/>
  <c r="J127" i="5"/>
  <c r="J142" i="5"/>
  <c r="J178" i="5"/>
  <c r="J180" i="5"/>
  <c r="J32" i="5"/>
  <c r="J17" i="5"/>
  <c r="J22" i="4"/>
  <c r="J79" i="4"/>
  <c r="J78" i="4"/>
  <c r="J77" i="4"/>
  <c r="J7" i="4"/>
  <c r="J49" i="4"/>
  <c r="J76" i="4"/>
  <c r="J53" i="4"/>
  <c r="J42" i="4"/>
  <c r="J12" i="4"/>
  <c r="J73" i="4"/>
  <c r="J74" i="4"/>
  <c r="J48" i="4"/>
  <c r="J47" i="4"/>
  <c r="J70" i="4"/>
  <c r="P48" i="7" l="1"/>
  <c r="B9" i="10" s="1"/>
  <c r="E9" i="10" s="1"/>
  <c r="N48" i="7"/>
  <c r="C9" i="10" s="1"/>
  <c r="N38" i="6"/>
  <c r="P38" i="6"/>
  <c r="N70" i="6"/>
  <c r="P70" i="6"/>
  <c r="P43" i="6"/>
  <c r="N43" i="6"/>
  <c r="N57" i="6"/>
  <c r="P57" i="6"/>
  <c r="N45" i="6"/>
  <c r="P45" i="6"/>
  <c r="N26" i="6"/>
  <c r="P26" i="6"/>
  <c r="N42" i="6"/>
  <c r="P42" i="6"/>
  <c r="N58" i="6"/>
  <c r="P58" i="6"/>
  <c r="N74" i="6"/>
  <c r="P74" i="6"/>
  <c r="N2" i="6"/>
  <c r="P2" i="6"/>
  <c r="P31" i="6"/>
  <c r="N31" i="6"/>
  <c r="P47" i="6"/>
  <c r="N47" i="6"/>
  <c r="N63" i="6"/>
  <c r="P63" i="6"/>
  <c r="P29" i="6"/>
  <c r="N29" i="6"/>
  <c r="P73" i="6"/>
  <c r="N73" i="6"/>
  <c r="N28" i="6"/>
  <c r="P28" i="6"/>
  <c r="N44" i="6"/>
  <c r="P44" i="6"/>
  <c r="N60" i="6"/>
  <c r="P60" i="6"/>
  <c r="P10" i="6"/>
  <c r="N10" i="6"/>
  <c r="P53" i="6"/>
  <c r="N53" i="6"/>
  <c r="N54" i="6"/>
  <c r="P54" i="6"/>
  <c r="N27" i="6"/>
  <c r="P27" i="6"/>
  <c r="P21" i="6"/>
  <c r="N21" i="6"/>
  <c r="N24" i="6"/>
  <c r="P24" i="6"/>
  <c r="N72" i="6"/>
  <c r="P72" i="6"/>
  <c r="N30" i="6"/>
  <c r="P30" i="6"/>
  <c r="N46" i="6"/>
  <c r="P46" i="6"/>
  <c r="N62" i="6"/>
  <c r="P62" i="6"/>
  <c r="P41" i="6"/>
  <c r="N41" i="6"/>
  <c r="P19" i="6"/>
  <c r="N19" i="6"/>
  <c r="P35" i="6"/>
  <c r="N35" i="6"/>
  <c r="N51" i="6"/>
  <c r="P51" i="6"/>
  <c r="P67" i="6"/>
  <c r="N67" i="6"/>
  <c r="P37" i="6"/>
  <c r="N37" i="6"/>
  <c r="N6" i="6"/>
  <c r="P6" i="6"/>
  <c r="N32" i="6"/>
  <c r="P32" i="6"/>
  <c r="N48" i="6"/>
  <c r="P48" i="6"/>
  <c r="N64" i="6"/>
  <c r="P64" i="6"/>
  <c r="P25" i="6"/>
  <c r="N25" i="6"/>
  <c r="P65" i="6"/>
  <c r="N65" i="6"/>
  <c r="N22" i="6"/>
  <c r="P22" i="6"/>
  <c r="N69" i="6"/>
  <c r="P69" i="6"/>
  <c r="P59" i="6"/>
  <c r="N59" i="6"/>
  <c r="N40" i="6"/>
  <c r="P40" i="6"/>
  <c r="N56" i="6"/>
  <c r="P56" i="6"/>
  <c r="N14" i="6"/>
  <c r="P14" i="6"/>
  <c r="N34" i="6"/>
  <c r="P34" i="6"/>
  <c r="N50" i="6"/>
  <c r="P50" i="6"/>
  <c r="N66" i="6"/>
  <c r="P66" i="6"/>
  <c r="P61" i="6"/>
  <c r="N61" i="6"/>
  <c r="P23" i="6"/>
  <c r="N23" i="6"/>
  <c r="N39" i="6"/>
  <c r="P39" i="6"/>
  <c r="P55" i="6"/>
  <c r="N55" i="6"/>
  <c r="P71" i="6"/>
  <c r="N71" i="6"/>
  <c r="P49" i="6"/>
  <c r="N49" i="6"/>
  <c r="N20" i="6"/>
  <c r="P20" i="6"/>
  <c r="N36" i="6"/>
  <c r="P36" i="6"/>
  <c r="N52" i="6"/>
  <c r="P52" i="6"/>
  <c r="N68" i="6"/>
  <c r="P68" i="6"/>
  <c r="N33" i="6"/>
  <c r="P33" i="6"/>
  <c r="L216" i="5"/>
  <c r="L204" i="5"/>
  <c r="L192" i="5"/>
  <c r="L180" i="5"/>
  <c r="L168" i="5"/>
  <c r="L156" i="5"/>
  <c r="L140" i="5"/>
  <c r="L132" i="5"/>
  <c r="L120" i="5"/>
  <c r="L104" i="5"/>
  <c r="L96" i="5"/>
  <c r="L88" i="5"/>
  <c r="L76" i="5"/>
  <c r="L72" i="5"/>
  <c r="L60" i="5"/>
  <c r="L56" i="5"/>
  <c r="L52" i="5"/>
  <c r="L12" i="5"/>
  <c r="L223" i="5"/>
  <c r="L219" i="5"/>
  <c r="L215" i="5"/>
  <c r="L211" i="5"/>
  <c r="L207" i="5"/>
  <c r="L203" i="5"/>
  <c r="L199" i="5"/>
  <c r="L195" i="5"/>
  <c r="L191" i="5"/>
  <c r="L187" i="5"/>
  <c r="L183" i="5"/>
  <c r="L179" i="5"/>
  <c r="L175" i="5"/>
  <c r="L171" i="5"/>
  <c r="L167" i="5"/>
  <c r="L163" i="5"/>
  <c r="L159" i="5"/>
  <c r="L155" i="5"/>
  <c r="L151" i="5"/>
  <c r="L147" i="5"/>
  <c r="L143" i="5"/>
  <c r="L139" i="5"/>
  <c r="L135" i="5"/>
  <c r="L131" i="5"/>
  <c r="L127" i="5"/>
  <c r="L123" i="5"/>
  <c r="L119" i="5"/>
  <c r="L115" i="5"/>
  <c r="L111" i="5"/>
  <c r="L107" i="5"/>
  <c r="L103" i="5"/>
  <c r="L99" i="5"/>
  <c r="L95" i="5"/>
  <c r="L91" i="5"/>
  <c r="L87" i="5"/>
  <c r="L83" i="5"/>
  <c r="L79" i="5"/>
  <c r="L75" i="5"/>
  <c r="L71" i="5"/>
  <c r="L67" i="5"/>
  <c r="L63" i="5"/>
  <c r="L59" i="5"/>
  <c r="L55" i="5"/>
  <c r="L47" i="5"/>
  <c r="L22" i="5"/>
  <c r="L224" i="5"/>
  <c r="L212" i="5"/>
  <c r="L196" i="5"/>
  <c r="L188" i="5"/>
  <c r="L176" i="5"/>
  <c r="L164" i="5"/>
  <c r="L160" i="5"/>
  <c r="L148" i="5"/>
  <c r="L136" i="5"/>
  <c r="L124" i="5"/>
  <c r="L112" i="5"/>
  <c r="L92" i="5"/>
  <c r="L80" i="5"/>
  <c r="L64" i="5"/>
  <c r="L26" i="5"/>
  <c r="L226" i="5"/>
  <c r="L222" i="5"/>
  <c r="L218" i="5"/>
  <c r="L214" i="5"/>
  <c r="L210" i="5"/>
  <c r="L206" i="5"/>
  <c r="L202" i="5"/>
  <c r="L198" i="5"/>
  <c r="L194" i="5"/>
  <c r="L190" i="5"/>
  <c r="L186" i="5"/>
  <c r="L182" i="5"/>
  <c r="L178" i="5"/>
  <c r="L174" i="5"/>
  <c r="L170" i="5"/>
  <c r="L166" i="5"/>
  <c r="L162" i="5"/>
  <c r="L158" i="5"/>
  <c r="L154" i="5"/>
  <c r="L150" i="5"/>
  <c r="L146" i="5"/>
  <c r="L142" i="5"/>
  <c r="L138" i="5"/>
  <c r="L134" i="5"/>
  <c r="L130" i="5"/>
  <c r="L126" i="5"/>
  <c r="L122" i="5"/>
  <c r="L118" i="5"/>
  <c r="L114" i="5"/>
  <c r="L110" i="5"/>
  <c r="L106" i="5"/>
  <c r="L102" i="5"/>
  <c r="L98" i="5"/>
  <c r="L94" i="5"/>
  <c r="L90" i="5"/>
  <c r="L86" i="5"/>
  <c r="L82" i="5"/>
  <c r="L78" i="5"/>
  <c r="L74" i="5"/>
  <c r="L70" i="5"/>
  <c r="L66" i="5"/>
  <c r="L62" i="5"/>
  <c r="L58" i="5"/>
  <c r="L54" i="5"/>
  <c r="L32" i="5"/>
  <c r="L7" i="5"/>
  <c r="L220" i="5"/>
  <c r="L208" i="5"/>
  <c r="L200" i="5"/>
  <c r="L184" i="5"/>
  <c r="L172" i="5"/>
  <c r="L152" i="5"/>
  <c r="L144" i="5"/>
  <c r="L128" i="5"/>
  <c r="L116" i="5"/>
  <c r="L108" i="5"/>
  <c r="L100" i="5"/>
  <c r="L84" i="5"/>
  <c r="L68" i="5"/>
  <c r="L37" i="5"/>
  <c r="L225" i="5"/>
  <c r="L221" i="5"/>
  <c r="L217" i="5"/>
  <c r="L213" i="5"/>
  <c r="L209" i="5"/>
  <c r="L205" i="5"/>
  <c r="L201" i="5"/>
  <c r="L197" i="5"/>
  <c r="L193" i="5"/>
  <c r="L189" i="5"/>
  <c r="L185" i="5"/>
  <c r="L181" i="5"/>
  <c r="L177" i="5"/>
  <c r="L173" i="5"/>
  <c r="L169" i="5"/>
  <c r="L165" i="5"/>
  <c r="L161" i="5"/>
  <c r="L157" i="5"/>
  <c r="L153" i="5"/>
  <c r="L149" i="5"/>
  <c r="L145" i="5"/>
  <c r="L141" i="5"/>
  <c r="L137" i="5"/>
  <c r="L133" i="5"/>
  <c r="L129" i="5"/>
  <c r="L125" i="5"/>
  <c r="L121" i="5"/>
  <c r="L117" i="5"/>
  <c r="L113" i="5"/>
  <c r="L109" i="5"/>
  <c r="L105" i="5"/>
  <c r="L101" i="5"/>
  <c r="L97" i="5"/>
  <c r="L93" i="5"/>
  <c r="L89" i="5"/>
  <c r="L85" i="5"/>
  <c r="L81" i="5"/>
  <c r="L77" i="5"/>
  <c r="L73" i="5"/>
  <c r="L69" i="5"/>
  <c r="L65" i="5"/>
  <c r="L61" i="5"/>
  <c r="L57" i="5"/>
  <c r="L53" i="5"/>
  <c r="L42" i="5"/>
  <c r="L31" i="5"/>
  <c r="L17" i="5"/>
  <c r="L2" i="5"/>
  <c r="L81" i="4"/>
  <c r="L69" i="4"/>
  <c r="L53" i="4"/>
  <c r="L41" i="4"/>
  <c r="L17" i="4"/>
  <c r="L84" i="4"/>
  <c r="L80" i="4"/>
  <c r="L76" i="4"/>
  <c r="L72" i="4"/>
  <c r="L68" i="4"/>
  <c r="L64" i="4"/>
  <c r="L60" i="4"/>
  <c r="L56" i="4"/>
  <c r="L52" i="4"/>
  <c r="L48" i="4"/>
  <c r="L44" i="4"/>
  <c r="L40" i="4"/>
  <c r="L36" i="4"/>
  <c r="L28" i="4"/>
  <c r="L12" i="4"/>
  <c r="L77" i="4"/>
  <c r="L73" i="4"/>
  <c r="L61" i="4"/>
  <c r="L57" i="4"/>
  <c r="L37" i="4"/>
  <c r="L83" i="4"/>
  <c r="L79" i="4"/>
  <c r="L75" i="4"/>
  <c r="N75" i="4" s="1"/>
  <c r="L71" i="4"/>
  <c r="N71" i="4" s="1"/>
  <c r="L67" i="4"/>
  <c r="N67" i="4" s="1"/>
  <c r="L63" i="4"/>
  <c r="N63" i="4" s="1"/>
  <c r="L59" i="4"/>
  <c r="N59" i="4" s="1"/>
  <c r="L55" i="4"/>
  <c r="N55" i="4" s="1"/>
  <c r="L51" i="4"/>
  <c r="N51" i="4" s="1"/>
  <c r="L47" i="4"/>
  <c r="N47" i="4" s="1"/>
  <c r="L43" i="4"/>
  <c r="N43" i="4" s="1"/>
  <c r="L39" i="4"/>
  <c r="N39" i="4" s="1"/>
  <c r="L35" i="4"/>
  <c r="N35" i="4" s="1"/>
  <c r="L23" i="4"/>
  <c r="N23" i="4" s="1"/>
  <c r="L7" i="4"/>
  <c r="N7" i="4" s="1"/>
  <c r="L65" i="4"/>
  <c r="L49" i="4"/>
  <c r="L45" i="4"/>
  <c r="L33" i="4"/>
  <c r="L82" i="4"/>
  <c r="L78" i="4"/>
  <c r="L74" i="4"/>
  <c r="L70" i="4"/>
  <c r="L66" i="4"/>
  <c r="L62" i="4"/>
  <c r="L58" i="4"/>
  <c r="L54" i="4"/>
  <c r="L50" i="4"/>
  <c r="L46" i="4"/>
  <c r="L42" i="4"/>
  <c r="L38" i="4"/>
  <c r="L34" i="4"/>
  <c r="L22" i="4"/>
  <c r="L2" i="4"/>
  <c r="O17" i="2"/>
  <c r="M17" i="2"/>
  <c r="O13" i="2"/>
  <c r="M13" i="2"/>
  <c r="O20" i="1"/>
  <c r="O18" i="1"/>
  <c r="O14" i="1"/>
  <c r="M20" i="1"/>
  <c r="M18" i="1"/>
  <c r="M14" i="1"/>
  <c r="J21" i="3"/>
  <c r="J19" i="2"/>
  <c r="J38" i="1"/>
  <c r="J35" i="1"/>
  <c r="J13" i="1"/>
  <c r="J36" i="1"/>
  <c r="J2" i="1"/>
  <c r="J17" i="3"/>
  <c r="J16" i="3"/>
  <c r="J20" i="3"/>
  <c r="J15" i="2"/>
  <c r="J16" i="2"/>
  <c r="J12" i="1"/>
  <c r="J17" i="1"/>
  <c r="J21" i="1"/>
  <c r="J26" i="1"/>
  <c r="J32" i="1"/>
  <c r="J23" i="1"/>
  <c r="J37" i="1"/>
  <c r="J22" i="1"/>
  <c r="J7" i="2"/>
  <c r="J15" i="3"/>
  <c r="J18" i="3"/>
  <c r="J19" i="3"/>
  <c r="J12" i="2"/>
  <c r="J17" i="2"/>
  <c r="J13" i="2"/>
  <c r="J40" i="1"/>
  <c r="J29" i="1"/>
  <c r="J18" i="1"/>
  <c r="J34" i="1"/>
  <c r="J16" i="1"/>
  <c r="J25" i="1"/>
  <c r="J31" i="1"/>
  <c r="J27" i="1"/>
  <c r="J2" i="2"/>
  <c r="J14" i="2"/>
  <c r="J13" i="3"/>
  <c r="J12" i="3"/>
  <c r="J22" i="2"/>
  <c r="J21" i="2"/>
  <c r="J18" i="2"/>
  <c r="J42" i="1"/>
  <c r="J41" i="1"/>
  <c r="J33" i="1"/>
  <c r="J39" i="1"/>
  <c r="J15" i="1"/>
  <c r="J30" i="1"/>
  <c r="J28" i="1"/>
  <c r="J7" i="3"/>
  <c r="J7" i="1"/>
  <c r="J14" i="3"/>
  <c r="J20" i="2"/>
  <c r="J14" i="1"/>
  <c r="J24" i="1"/>
  <c r="J20" i="1"/>
  <c r="J19" i="1"/>
  <c r="J2" i="3"/>
  <c r="N17" i="5" l="1"/>
  <c r="P17" i="5"/>
  <c r="N73" i="5"/>
  <c r="P73" i="5"/>
  <c r="N105" i="5"/>
  <c r="P105" i="5"/>
  <c r="N121" i="5"/>
  <c r="P121" i="5"/>
  <c r="N153" i="5"/>
  <c r="P153" i="5"/>
  <c r="N185" i="5"/>
  <c r="P185" i="5"/>
  <c r="N217" i="5"/>
  <c r="P217" i="5"/>
  <c r="P68" i="5"/>
  <c r="N68" i="5"/>
  <c r="P172" i="5"/>
  <c r="N172" i="5"/>
  <c r="P220" i="5"/>
  <c r="N220" i="5"/>
  <c r="P66" i="5"/>
  <c r="N66" i="5"/>
  <c r="P98" i="5"/>
  <c r="N98" i="5"/>
  <c r="N146" i="5"/>
  <c r="P146" i="5"/>
  <c r="P71" i="5"/>
  <c r="N71" i="5"/>
  <c r="N31" i="5"/>
  <c r="P31" i="5"/>
  <c r="N61" i="5"/>
  <c r="P61" i="5"/>
  <c r="N77" i="5"/>
  <c r="P77" i="5"/>
  <c r="N93" i="5"/>
  <c r="P93" i="5"/>
  <c r="N109" i="5"/>
  <c r="P109" i="5"/>
  <c r="N125" i="5"/>
  <c r="P125" i="5"/>
  <c r="N141" i="5"/>
  <c r="P141" i="5"/>
  <c r="N157" i="5"/>
  <c r="P157" i="5"/>
  <c r="N173" i="5"/>
  <c r="P173" i="5"/>
  <c r="N189" i="5"/>
  <c r="P189" i="5"/>
  <c r="N205" i="5"/>
  <c r="P205" i="5"/>
  <c r="N221" i="5"/>
  <c r="P221" i="5"/>
  <c r="N84" i="5"/>
  <c r="P84" i="5"/>
  <c r="P128" i="5"/>
  <c r="N128" i="5"/>
  <c r="P184" i="5"/>
  <c r="N184" i="5"/>
  <c r="P7" i="5"/>
  <c r="N7" i="5"/>
  <c r="P54" i="5"/>
  <c r="N54" i="5"/>
  <c r="N70" i="5"/>
  <c r="P70" i="5"/>
  <c r="N86" i="5"/>
  <c r="P86" i="5"/>
  <c r="P102" i="5"/>
  <c r="N102" i="5"/>
  <c r="P118" i="5"/>
  <c r="N118" i="5"/>
  <c r="N134" i="5"/>
  <c r="P134" i="5"/>
  <c r="N150" i="5"/>
  <c r="P150" i="5"/>
  <c r="N166" i="5"/>
  <c r="P166" i="5"/>
  <c r="N182" i="5"/>
  <c r="P182" i="5"/>
  <c r="N198" i="5"/>
  <c r="P198" i="5"/>
  <c r="N214" i="5"/>
  <c r="P214" i="5"/>
  <c r="P26" i="5"/>
  <c r="N26" i="5"/>
  <c r="P112" i="5"/>
  <c r="N112" i="5"/>
  <c r="P160" i="5"/>
  <c r="N160" i="5"/>
  <c r="P196" i="5"/>
  <c r="N196" i="5"/>
  <c r="P22" i="5"/>
  <c r="N22" i="5"/>
  <c r="P59" i="5"/>
  <c r="N59" i="5"/>
  <c r="P75" i="5"/>
  <c r="N75" i="5"/>
  <c r="P91" i="5"/>
  <c r="N91" i="5"/>
  <c r="P107" i="5"/>
  <c r="N107" i="5"/>
  <c r="P123" i="5"/>
  <c r="N123" i="5"/>
  <c r="P139" i="5"/>
  <c r="N139" i="5"/>
  <c r="P155" i="5"/>
  <c r="N155" i="5"/>
  <c r="P171" i="5"/>
  <c r="N171" i="5"/>
  <c r="P187" i="5"/>
  <c r="N187" i="5"/>
  <c r="P203" i="5"/>
  <c r="N203" i="5"/>
  <c r="P219" i="5"/>
  <c r="N219" i="5"/>
  <c r="P56" i="5"/>
  <c r="N56" i="5"/>
  <c r="N88" i="5"/>
  <c r="P88" i="5"/>
  <c r="P132" i="5"/>
  <c r="N132" i="5"/>
  <c r="P180" i="5"/>
  <c r="N180" i="5"/>
  <c r="N42" i="5"/>
  <c r="P42" i="5"/>
  <c r="N65" i="5"/>
  <c r="P65" i="5"/>
  <c r="N81" i="5"/>
  <c r="P81" i="5"/>
  <c r="N97" i="5"/>
  <c r="P97" i="5"/>
  <c r="P113" i="5"/>
  <c r="N113" i="5"/>
  <c r="N129" i="5"/>
  <c r="P129" i="5"/>
  <c r="N145" i="5"/>
  <c r="P145" i="5"/>
  <c r="N161" i="5"/>
  <c r="P161" i="5"/>
  <c r="N177" i="5"/>
  <c r="P177" i="5"/>
  <c r="N193" i="5"/>
  <c r="P193" i="5"/>
  <c r="N209" i="5"/>
  <c r="P209" i="5"/>
  <c r="N225" i="5"/>
  <c r="P225" i="5"/>
  <c r="P100" i="5"/>
  <c r="N100" i="5"/>
  <c r="P144" i="5"/>
  <c r="N144" i="5"/>
  <c r="P200" i="5"/>
  <c r="N200" i="5"/>
  <c r="P58" i="5"/>
  <c r="N58" i="5"/>
  <c r="P74" i="5"/>
  <c r="N74" i="5"/>
  <c r="N90" i="5"/>
  <c r="P90" i="5"/>
  <c r="P106" i="5"/>
  <c r="N106" i="5"/>
  <c r="P122" i="5"/>
  <c r="N122" i="5"/>
  <c r="N138" i="5"/>
  <c r="P138" i="5"/>
  <c r="N154" i="5"/>
  <c r="P154" i="5"/>
  <c r="N170" i="5"/>
  <c r="P170" i="5"/>
  <c r="N186" i="5"/>
  <c r="P186" i="5"/>
  <c r="N202" i="5"/>
  <c r="P202" i="5"/>
  <c r="N218" i="5"/>
  <c r="P218" i="5"/>
  <c r="P64" i="5"/>
  <c r="N64" i="5"/>
  <c r="P124" i="5"/>
  <c r="N124" i="5"/>
  <c r="P164" i="5"/>
  <c r="N164" i="5"/>
  <c r="P212" i="5"/>
  <c r="N212" i="5"/>
  <c r="P63" i="5"/>
  <c r="N63" i="5"/>
  <c r="P79" i="5"/>
  <c r="N79" i="5"/>
  <c r="P95" i="5"/>
  <c r="N95" i="5"/>
  <c r="P111" i="5"/>
  <c r="N111" i="5"/>
  <c r="P127" i="5"/>
  <c r="N127" i="5"/>
  <c r="P143" i="5"/>
  <c r="N143" i="5"/>
  <c r="P159" i="5"/>
  <c r="N159" i="5"/>
  <c r="P175" i="5"/>
  <c r="N175" i="5"/>
  <c r="P191" i="5"/>
  <c r="N191" i="5"/>
  <c r="P207" i="5"/>
  <c r="N207" i="5"/>
  <c r="P223" i="5"/>
  <c r="N223" i="5"/>
  <c r="P60" i="5"/>
  <c r="N60" i="5"/>
  <c r="P96" i="5"/>
  <c r="N96" i="5"/>
  <c r="P140" i="5"/>
  <c r="N140" i="5"/>
  <c r="N192" i="5"/>
  <c r="P192" i="5"/>
  <c r="N57" i="5"/>
  <c r="P57" i="5"/>
  <c r="N169" i="5"/>
  <c r="P169" i="5"/>
  <c r="N2" i="5"/>
  <c r="P2" i="5"/>
  <c r="N53" i="5"/>
  <c r="P53" i="5"/>
  <c r="N69" i="5"/>
  <c r="P69" i="5"/>
  <c r="N85" i="5"/>
  <c r="P85" i="5"/>
  <c r="N101" i="5"/>
  <c r="P101" i="5"/>
  <c r="P117" i="5"/>
  <c r="N117" i="5"/>
  <c r="N133" i="5"/>
  <c r="P133" i="5"/>
  <c r="N149" i="5"/>
  <c r="P149" i="5"/>
  <c r="N165" i="5"/>
  <c r="P165" i="5"/>
  <c r="N181" i="5"/>
  <c r="P181" i="5"/>
  <c r="N197" i="5"/>
  <c r="P197" i="5"/>
  <c r="N213" i="5"/>
  <c r="P213" i="5"/>
  <c r="P37" i="5"/>
  <c r="N37" i="5"/>
  <c r="P108" i="5"/>
  <c r="N108" i="5"/>
  <c r="N152" i="5"/>
  <c r="P152" i="5"/>
  <c r="N208" i="5"/>
  <c r="P208" i="5"/>
  <c r="P32" i="5"/>
  <c r="N32" i="5"/>
  <c r="P62" i="5"/>
  <c r="N62" i="5"/>
  <c r="P78" i="5"/>
  <c r="N78" i="5"/>
  <c r="N94" i="5"/>
  <c r="P94" i="5"/>
  <c r="N110" i="5"/>
  <c r="P110" i="5"/>
  <c r="P126" i="5"/>
  <c r="N126" i="5"/>
  <c r="N142" i="5"/>
  <c r="P142" i="5"/>
  <c r="N158" i="5"/>
  <c r="P158" i="5"/>
  <c r="N174" i="5"/>
  <c r="P174" i="5"/>
  <c r="N190" i="5"/>
  <c r="P190" i="5"/>
  <c r="N206" i="5"/>
  <c r="P206" i="5"/>
  <c r="N222" i="5"/>
  <c r="P222" i="5"/>
  <c r="N80" i="5"/>
  <c r="P80" i="5"/>
  <c r="P136" i="5"/>
  <c r="N136" i="5"/>
  <c r="N176" i="5"/>
  <c r="P176" i="5"/>
  <c r="N224" i="5"/>
  <c r="P224" i="5"/>
  <c r="P47" i="5"/>
  <c r="N47" i="5"/>
  <c r="P67" i="5"/>
  <c r="N67" i="5"/>
  <c r="P83" i="5"/>
  <c r="N83" i="5"/>
  <c r="P99" i="5"/>
  <c r="N99" i="5"/>
  <c r="P115" i="5"/>
  <c r="N115" i="5"/>
  <c r="P131" i="5"/>
  <c r="N131" i="5"/>
  <c r="P147" i="5"/>
  <c r="N147" i="5"/>
  <c r="P163" i="5"/>
  <c r="N163" i="5"/>
  <c r="P179" i="5"/>
  <c r="N179" i="5"/>
  <c r="P195" i="5"/>
  <c r="N195" i="5"/>
  <c r="P211" i="5"/>
  <c r="N211" i="5"/>
  <c r="P12" i="5"/>
  <c r="N12" i="5"/>
  <c r="N72" i="5"/>
  <c r="P72" i="5"/>
  <c r="P104" i="5"/>
  <c r="N104" i="5"/>
  <c r="P156" i="5"/>
  <c r="N156" i="5"/>
  <c r="N204" i="5"/>
  <c r="P204" i="5"/>
  <c r="N89" i="5"/>
  <c r="P89" i="5"/>
  <c r="N137" i="5"/>
  <c r="P137" i="5"/>
  <c r="N201" i="5"/>
  <c r="P201" i="5"/>
  <c r="P116" i="5"/>
  <c r="N116" i="5"/>
  <c r="P82" i="5"/>
  <c r="N82" i="5"/>
  <c r="N114" i="5"/>
  <c r="P114" i="5"/>
  <c r="N130" i="5"/>
  <c r="P130" i="5"/>
  <c r="N162" i="5"/>
  <c r="P162" i="5"/>
  <c r="N178" i="5"/>
  <c r="P178" i="5"/>
  <c r="N194" i="5"/>
  <c r="P194" i="5"/>
  <c r="N210" i="5"/>
  <c r="P210" i="5"/>
  <c r="N226" i="5"/>
  <c r="P226" i="5"/>
  <c r="P92" i="5"/>
  <c r="N92" i="5"/>
  <c r="N148" i="5"/>
  <c r="P148" i="5"/>
  <c r="N188" i="5"/>
  <c r="P188" i="5"/>
  <c r="P55" i="5"/>
  <c r="N55" i="5"/>
  <c r="P87" i="5"/>
  <c r="N87" i="5"/>
  <c r="P103" i="5"/>
  <c r="N103" i="5"/>
  <c r="P119" i="5"/>
  <c r="N119" i="5"/>
  <c r="P135" i="5"/>
  <c r="N135" i="5"/>
  <c r="P151" i="5"/>
  <c r="N151" i="5"/>
  <c r="P167" i="5"/>
  <c r="N167" i="5"/>
  <c r="P183" i="5"/>
  <c r="N183" i="5"/>
  <c r="P199" i="5"/>
  <c r="N199" i="5"/>
  <c r="P215" i="5"/>
  <c r="N215" i="5"/>
  <c r="P52" i="5"/>
  <c r="N52" i="5"/>
  <c r="N76" i="5"/>
  <c r="P76" i="5"/>
  <c r="P120" i="5"/>
  <c r="N120" i="5"/>
  <c r="P168" i="5"/>
  <c r="N168" i="5"/>
  <c r="N216" i="5"/>
  <c r="P216" i="5"/>
  <c r="N75" i="6"/>
  <c r="C8" i="10" s="1"/>
  <c r="P75" i="6"/>
  <c r="B8" i="10" s="1"/>
  <c r="E8" i="10" s="1"/>
  <c r="P39" i="4"/>
  <c r="P67" i="4"/>
  <c r="P23" i="4"/>
  <c r="P47" i="4"/>
  <c r="P63" i="4"/>
  <c r="P51" i="4"/>
  <c r="P71" i="4"/>
  <c r="P35" i="4"/>
  <c r="P55" i="4"/>
  <c r="P38" i="4"/>
  <c r="N38" i="4"/>
  <c r="P70" i="4"/>
  <c r="N70" i="4"/>
  <c r="N33" i="4"/>
  <c r="P33" i="4"/>
  <c r="N57" i="4"/>
  <c r="P57" i="4"/>
  <c r="N12" i="4"/>
  <c r="P12" i="4"/>
  <c r="N44" i="4"/>
  <c r="P44" i="4"/>
  <c r="N41" i="4"/>
  <c r="P41" i="4"/>
  <c r="P2" i="4"/>
  <c r="N2" i="4"/>
  <c r="P42" i="4"/>
  <c r="N42" i="4"/>
  <c r="P58" i="4"/>
  <c r="N58" i="4"/>
  <c r="N74" i="4"/>
  <c r="P74" i="4"/>
  <c r="N45" i="4"/>
  <c r="P45" i="4"/>
  <c r="P79" i="4"/>
  <c r="N79" i="4"/>
  <c r="N61" i="4"/>
  <c r="P61" i="4"/>
  <c r="N28" i="4"/>
  <c r="P28" i="4"/>
  <c r="N48" i="4"/>
  <c r="P48" i="4"/>
  <c r="P64" i="4"/>
  <c r="N64" i="4"/>
  <c r="N80" i="4"/>
  <c r="P80" i="4"/>
  <c r="N53" i="4"/>
  <c r="P53" i="4"/>
  <c r="P54" i="4"/>
  <c r="N54" i="4"/>
  <c r="P76" i="4"/>
  <c r="N76" i="4"/>
  <c r="P22" i="4"/>
  <c r="N22" i="4"/>
  <c r="P46" i="4"/>
  <c r="N46" i="4"/>
  <c r="P62" i="4"/>
  <c r="N62" i="4"/>
  <c r="N78" i="4"/>
  <c r="P78" i="4"/>
  <c r="N49" i="4"/>
  <c r="P49" i="4"/>
  <c r="P83" i="4"/>
  <c r="N83" i="4"/>
  <c r="N73" i="4"/>
  <c r="P73" i="4"/>
  <c r="N36" i="4"/>
  <c r="P36" i="4"/>
  <c r="N52" i="4"/>
  <c r="P52" i="4"/>
  <c r="P68" i="4"/>
  <c r="N68" i="4"/>
  <c r="N84" i="4"/>
  <c r="P84" i="4"/>
  <c r="N69" i="4"/>
  <c r="P69" i="4"/>
  <c r="N60" i="4"/>
  <c r="P60" i="4"/>
  <c r="P7" i="4"/>
  <c r="P43" i="4"/>
  <c r="P59" i="4"/>
  <c r="P75" i="4"/>
  <c r="P34" i="4"/>
  <c r="N34" i="4"/>
  <c r="P50" i="4"/>
  <c r="N50" i="4"/>
  <c r="N66" i="4"/>
  <c r="P66" i="4"/>
  <c r="N82" i="4"/>
  <c r="P82" i="4"/>
  <c r="N65" i="4"/>
  <c r="P65" i="4"/>
  <c r="N37" i="4"/>
  <c r="P37" i="4"/>
  <c r="N77" i="4"/>
  <c r="P77" i="4"/>
  <c r="N40" i="4"/>
  <c r="P40" i="4"/>
  <c r="N56" i="4"/>
  <c r="P56" i="4"/>
  <c r="P72" i="4"/>
  <c r="N72" i="4"/>
  <c r="N17" i="4"/>
  <c r="P17" i="4"/>
  <c r="N81" i="4"/>
  <c r="P81" i="4"/>
  <c r="L20" i="3"/>
  <c r="L19" i="3"/>
  <c r="L15" i="3"/>
  <c r="L7" i="3"/>
  <c r="L18" i="3"/>
  <c r="L14" i="3"/>
  <c r="L2" i="3"/>
  <c r="L21" i="3"/>
  <c r="L17" i="3"/>
  <c r="L13" i="3"/>
  <c r="L16" i="3"/>
  <c r="L12" i="3"/>
  <c r="L21" i="2"/>
  <c r="L17" i="2"/>
  <c r="L13" i="2"/>
  <c r="L20" i="2"/>
  <c r="N20" i="2" s="1"/>
  <c r="L16" i="2"/>
  <c r="P16" i="2" s="1"/>
  <c r="L12" i="2"/>
  <c r="P12" i="2" s="1"/>
  <c r="L19" i="2"/>
  <c r="L15" i="2"/>
  <c r="L7" i="2"/>
  <c r="L22" i="2"/>
  <c r="L18" i="2"/>
  <c r="L14" i="2"/>
  <c r="L2" i="2"/>
  <c r="L2" i="1"/>
  <c r="N2" i="1" s="1"/>
  <c r="L32" i="1"/>
  <c r="L24" i="1"/>
  <c r="L12" i="1"/>
  <c r="L31" i="1"/>
  <c r="L27" i="1"/>
  <c r="L23" i="1"/>
  <c r="L19" i="1"/>
  <c r="L15" i="1"/>
  <c r="L38" i="1"/>
  <c r="N38" i="1" s="1"/>
  <c r="L34" i="1"/>
  <c r="N34" i="1" s="1"/>
  <c r="L30" i="1"/>
  <c r="N30" i="1" s="1"/>
  <c r="L26" i="1"/>
  <c r="N26" i="1" s="1"/>
  <c r="L22" i="1"/>
  <c r="N22" i="1" s="1"/>
  <c r="L18" i="1"/>
  <c r="N18" i="1" s="1"/>
  <c r="L14" i="1"/>
  <c r="N14" i="1" s="1"/>
  <c r="L36" i="1"/>
  <c r="L28" i="1"/>
  <c r="L16" i="1"/>
  <c r="L39" i="1"/>
  <c r="L35" i="1"/>
  <c r="L41" i="1"/>
  <c r="L37" i="1"/>
  <c r="L33" i="1"/>
  <c r="L29" i="1"/>
  <c r="L25" i="1"/>
  <c r="L21" i="1"/>
  <c r="N21" i="1" s="1"/>
  <c r="L17" i="1"/>
  <c r="N17" i="1" s="1"/>
  <c r="L13" i="1"/>
  <c r="N13" i="1" s="1"/>
  <c r="L40" i="1"/>
  <c r="L20" i="1"/>
  <c r="L7" i="1"/>
  <c r="L42" i="1"/>
  <c r="N42" i="1" s="1"/>
  <c r="N12" i="2" l="1"/>
  <c r="N227" i="5"/>
  <c r="C7" i="10" s="1"/>
  <c r="P227" i="5"/>
  <c r="B7" i="10" s="1"/>
  <c r="E7" i="10" s="1"/>
  <c r="P85" i="4"/>
  <c r="B3" i="10" s="1"/>
  <c r="N85" i="4"/>
  <c r="C3" i="10" s="1"/>
  <c r="N13" i="3"/>
  <c r="P13" i="3"/>
  <c r="N19" i="3"/>
  <c r="P19" i="3"/>
  <c r="P12" i="3"/>
  <c r="N12" i="3"/>
  <c r="N21" i="3"/>
  <c r="P21" i="3"/>
  <c r="N7" i="3"/>
  <c r="P7" i="3"/>
  <c r="N16" i="3"/>
  <c r="P16" i="3"/>
  <c r="N2" i="3"/>
  <c r="P2" i="3"/>
  <c r="N15" i="3"/>
  <c r="P15" i="3"/>
  <c r="N14" i="3"/>
  <c r="P14" i="3"/>
  <c r="N17" i="3"/>
  <c r="P17" i="3"/>
  <c r="N18" i="3"/>
  <c r="P18" i="3"/>
  <c r="N20" i="3"/>
  <c r="P20" i="3"/>
  <c r="N2" i="2"/>
  <c r="P2" i="2"/>
  <c r="P21" i="2"/>
  <c r="N21" i="2"/>
  <c r="N14" i="2"/>
  <c r="P14" i="2"/>
  <c r="P15" i="2"/>
  <c r="N15" i="2"/>
  <c r="N16" i="2"/>
  <c r="N18" i="2"/>
  <c r="P18" i="2"/>
  <c r="N19" i="2"/>
  <c r="P19" i="2"/>
  <c r="P13" i="2"/>
  <c r="N13" i="2"/>
  <c r="P20" i="2"/>
  <c r="N22" i="2"/>
  <c r="P22" i="2"/>
  <c r="P17" i="2"/>
  <c r="N17" i="2"/>
  <c r="P7" i="2"/>
  <c r="N7" i="2"/>
  <c r="P18" i="1"/>
  <c r="P26" i="1"/>
  <c r="P13" i="1"/>
  <c r="P2" i="1"/>
  <c r="P17" i="1"/>
  <c r="P42" i="1"/>
  <c r="P34" i="1"/>
  <c r="P14" i="1"/>
  <c r="P30" i="1"/>
  <c r="P22" i="1"/>
  <c r="P38" i="1"/>
  <c r="N20" i="1"/>
  <c r="P20" i="1"/>
  <c r="P37" i="1"/>
  <c r="N37" i="1"/>
  <c r="N16" i="1"/>
  <c r="P16" i="1"/>
  <c r="P23" i="1"/>
  <c r="N23" i="1"/>
  <c r="N24" i="1"/>
  <c r="P24" i="1"/>
  <c r="P21" i="1"/>
  <c r="N40" i="1"/>
  <c r="P40" i="1"/>
  <c r="P25" i="1"/>
  <c r="N25" i="1"/>
  <c r="P41" i="1"/>
  <c r="N41" i="1"/>
  <c r="N28" i="1"/>
  <c r="P28" i="1"/>
  <c r="P27" i="1"/>
  <c r="N27" i="1"/>
  <c r="N32" i="1"/>
  <c r="P32" i="1"/>
  <c r="N7" i="1"/>
  <c r="P7" i="1"/>
  <c r="P33" i="1"/>
  <c r="N33" i="1"/>
  <c r="P39" i="1"/>
  <c r="N39" i="1"/>
  <c r="N19" i="1"/>
  <c r="P19" i="1"/>
  <c r="N12" i="1"/>
  <c r="P12" i="1"/>
  <c r="P29" i="1"/>
  <c r="N29" i="1"/>
  <c r="P35" i="1"/>
  <c r="N35" i="1"/>
  <c r="N36" i="1"/>
  <c r="P36" i="1"/>
  <c r="N15" i="1"/>
  <c r="P15" i="1"/>
  <c r="P31" i="1"/>
  <c r="N31" i="1"/>
  <c r="E3" i="10" l="1"/>
  <c r="N43" i="1"/>
  <c r="C4" i="10" s="1"/>
  <c r="P22" i="3"/>
  <c r="B6" i="10" s="1"/>
  <c r="E6" i="10" s="1"/>
  <c r="N22" i="3"/>
  <c r="C6" i="10" s="1"/>
  <c r="P43" i="1"/>
  <c r="B4" i="10" s="1"/>
  <c r="E4" i="10" s="1"/>
  <c r="P23" i="2"/>
  <c r="B5" i="10" s="1"/>
  <c r="E5" i="10" s="1"/>
  <c r="N23" i="2"/>
  <c r="C5" i="10" s="1"/>
  <c r="C12" i="10" l="1"/>
  <c r="B12" i="10"/>
  <c r="E12" i="10"/>
</calcChain>
</file>

<file path=xl/sharedStrings.xml><?xml version="1.0" encoding="utf-8"?>
<sst xmlns="http://schemas.openxmlformats.org/spreadsheetml/2006/main" count="5868" uniqueCount="1091">
  <si>
    <t>序号</t>
  </si>
  <si>
    <t>标高</t>
  </si>
  <si>
    <t>图号/部位</t>
  </si>
  <si>
    <t>构件名称</t>
  </si>
  <si>
    <t>材料名称</t>
  </si>
  <si>
    <t>规格型号</t>
  </si>
  <si>
    <t>材质</t>
  </si>
  <si>
    <t>单位</t>
  </si>
  <si>
    <t>计算式</t>
  </si>
  <si>
    <t>单件数量</t>
  </si>
  <si>
    <t>件数</t>
  </si>
  <si>
    <t>数量合计</t>
  </si>
  <si>
    <t>理论重量
(kg)</t>
  </si>
  <si>
    <t>总重
（T)</t>
  </si>
  <si>
    <t>单位长度外表面积</t>
  </si>
  <si>
    <t>防火</t>
  </si>
  <si>
    <t>备注</t>
  </si>
  <si>
    <t>EL6.400钢柱脚平面布置图</t>
    <phoneticPr fontId="2" type="noConversion"/>
  </si>
  <si>
    <t>C16</t>
    <phoneticPr fontId="2" type="noConversion"/>
  </si>
  <si>
    <t>C17</t>
    <phoneticPr fontId="2" type="noConversion"/>
  </si>
  <si>
    <t>H390×300×10×16</t>
    <phoneticPr fontId="2" type="noConversion"/>
  </si>
  <si>
    <t>H440×300×11×18</t>
    <phoneticPr fontId="2" type="noConversion"/>
  </si>
  <si>
    <t>B15</t>
    <phoneticPr fontId="2" type="noConversion"/>
  </si>
  <si>
    <t>G15</t>
    <phoneticPr fontId="2" type="noConversion"/>
  </si>
  <si>
    <t>RG15</t>
    <phoneticPr fontId="2" type="noConversion"/>
  </si>
  <si>
    <t>B23</t>
    <phoneticPr fontId="2" type="noConversion"/>
  </si>
  <si>
    <t>B24</t>
    <phoneticPr fontId="2" type="noConversion"/>
  </si>
  <si>
    <t>H133</t>
    <phoneticPr fontId="2" type="noConversion"/>
  </si>
  <si>
    <t>H340×250×9×14</t>
    <phoneticPr fontId="2" type="noConversion"/>
  </si>
  <si>
    <t>H200×100×5.5×8</t>
    <phoneticPr fontId="2" type="noConversion"/>
  </si>
  <si>
    <t>H250×125×6×9</t>
    <phoneticPr fontId="2" type="noConversion"/>
  </si>
  <si>
    <t>T125×125×6×9</t>
    <phoneticPr fontId="2" type="noConversion"/>
  </si>
  <si>
    <t>B14</t>
    <phoneticPr fontId="2" type="noConversion"/>
  </si>
  <si>
    <t>7-0.125*2</t>
    <phoneticPr fontId="2" type="noConversion"/>
  </si>
  <si>
    <t>9-0.125*2</t>
    <phoneticPr fontId="2" type="noConversion"/>
  </si>
  <si>
    <t>7*2+20.7*2+8.9*2+9*4+8*2+8.7*2+9*2+8*4+15.45*2+8.1*2+7*2+7.35*2+7*2+5.65*2+9*8+15*2+6.8*2+9*2</t>
    <phoneticPr fontId="2" type="noConversion"/>
  </si>
  <si>
    <t>(9-0.195*2)*10+(9-0.22*2)*15</t>
    <phoneticPr fontId="2" type="noConversion"/>
  </si>
  <si>
    <t>(111.75-7+101.9-0.125*2*75)+(3.6-0.125*2)</t>
    <phoneticPr fontId="2" type="noConversion"/>
  </si>
  <si>
    <t>5.4-0.125*2</t>
    <phoneticPr fontId="2" type="noConversion"/>
  </si>
  <si>
    <t>梁梁连接板</t>
    <phoneticPr fontId="2" type="noConversion"/>
  </si>
  <si>
    <t>PL120×312×5.5</t>
    <phoneticPr fontId="2" type="noConversion"/>
  </si>
  <si>
    <t>75*2+6+8</t>
    <phoneticPr fontId="2" type="noConversion"/>
  </si>
  <si>
    <t>54*4</t>
    <phoneticPr fontId="2" type="noConversion"/>
  </si>
  <si>
    <t>(2.85^2+4.5^2)^0.5</t>
    <phoneticPr fontId="2" type="noConversion"/>
  </si>
  <si>
    <t>(2.5^2+4.5^2)^0.5</t>
    <phoneticPr fontId="2" type="noConversion"/>
  </si>
  <si>
    <t>(3^2+4.5^2)^0.5</t>
    <phoneticPr fontId="2" type="noConversion"/>
  </si>
  <si>
    <t>(2.725^2+4.5^2)^0.5</t>
    <phoneticPr fontId="2" type="noConversion"/>
  </si>
  <si>
    <t>(2.3^2+4.5^2)^0.5</t>
    <phoneticPr fontId="2" type="noConversion"/>
  </si>
  <si>
    <t>(2.25^2+4.5^2)^0.5</t>
    <phoneticPr fontId="2" type="noConversion"/>
  </si>
  <si>
    <t>立面布置图一</t>
    <phoneticPr fontId="2" type="noConversion"/>
  </si>
  <si>
    <t>V6</t>
    <phoneticPr fontId="2" type="noConversion"/>
  </si>
  <si>
    <t>？？？</t>
    <phoneticPr fontId="2" type="noConversion"/>
  </si>
  <si>
    <t>(9^2+6.8^2)^0.5</t>
    <phoneticPr fontId="2" type="noConversion"/>
  </si>
  <si>
    <t>(8^2+6.8^2)^0.5</t>
    <phoneticPr fontId="2" type="noConversion"/>
  </si>
  <si>
    <t>(7^2+6.8^2)^0.5</t>
    <phoneticPr fontId="2" type="noConversion"/>
  </si>
  <si>
    <t>(6.8^2+6.8^2)^0.5</t>
    <phoneticPr fontId="2" type="noConversion"/>
  </si>
  <si>
    <t>立面布置图二</t>
    <phoneticPr fontId="2" type="noConversion"/>
  </si>
  <si>
    <t>立面布置图二</t>
    <phoneticPr fontId="2" type="noConversion"/>
  </si>
  <si>
    <t>(7^2+6.8^2)^0.5</t>
    <phoneticPr fontId="2" type="noConversion"/>
  </si>
  <si>
    <t>(6.8^2+6.8^2)^0.5</t>
    <phoneticPr fontId="2" type="noConversion"/>
  </si>
  <si>
    <t>汇总</t>
    <phoneticPr fontId="2" type="noConversion"/>
  </si>
  <si>
    <t>C15</t>
    <phoneticPr fontId="2" type="noConversion"/>
  </si>
  <si>
    <t>C16</t>
    <phoneticPr fontId="2" type="noConversion"/>
  </si>
  <si>
    <t>H390×300×10×16</t>
    <phoneticPr fontId="2" type="noConversion"/>
  </si>
  <si>
    <t>EL11.700平面布置图</t>
    <phoneticPr fontId="2" type="noConversion"/>
  </si>
  <si>
    <t>H294×200×8×12</t>
    <phoneticPr fontId="2" type="noConversion"/>
  </si>
  <si>
    <t>PL120×312×8</t>
    <phoneticPr fontId="2" type="noConversion"/>
  </si>
  <si>
    <t>29*4</t>
    <phoneticPr fontId="2" type="noConversion"/>
  </si>
  <si>
    <t>RG14</t>
    <phoneticPr fontId="2" type="noConversion"/>
  </si>
  <si>
    <t>C15待定</t>
    <phoneticPr fontId="2" type="noConversion"/>
  </si>
  <si>
    <t>G15</t>
    <phoneticPr fontId="2" type="noConversion"/>
  </si>
  <si>
    <t>H340×250×9×14</t>
    <phoneticPr fontId="2" type="noConversion"/>
  </si>
  <si>
    <t>(61.85+63)*2</t>
    <phoneticPr fontId="2" type="noConversion"/>
  </si>
  <si>
    <t>61.85+63-0.1*2*43</t>
    <phoneticPr fontId="2" type="noConversion"/>
  </si>
  <si>
    <t>PL96×270×5.5</t>
    <phoneticPr fontId="2" type="noConversion"/>
  </si>
  <si>
    <t>43*2+4</t>
    <phoneticPr fontId="2" type="noConversion"/>
  </si>
  <si>
    <t>H133</t>
    <phoneticPr fontId="2" type="noConversion"/>
  </si>
  <si>
    <t>(2.5^2+3.5^2)^0.5</t>
    <phoneticPr fontId="2" type="noConversion"/>
  </si>
  <si>
    <t>(2.45^2+3.5^2)^0.5</t>
    <phoneticPr fontId="2" type="noConversion"/>
  </si>
  <si>
    <t>(3^2+3.5^2)^0.5</t>
    <phoneticPr fontId="2" type="noConversion"/>
  </si>
  <si>
    <t>立面布置图</t>
    <phoneticPr fontId="2" type="noConversion"/>
  </si>
  <si>
    <t>V5</t>
    <phoneticPr fontId="2" type="noConversion"/>
  </si>
  <si>
    <t>H200×200×8×12</t>
    <phoneticPr fontId="2" type="noConversion"/>
  </si>
  <si>
    <t>(4.925^2+5.3^2)^0.5</t>
    <phoneticPr fontId="2" type="noConversion"/>
  </si>
  <si>
    <t>(4.5^2+5.3^2)^0.5</t>
    <phoneticPr fontId="2" type="noConversion"/>
  </si>
  <si>
    <t>底标高待定</t>
    <phoneticPr fontId="2" type="noConversion"/>
  </si>
  <si>
    <t>底标高待定</t>
    <phoneticPr fontId="2" type="noConversion"/>
  </si>
  <si>
    <t>C16</t>
    <phoneticPr fontId="2" type="noConversion"/>
  </si>
  <si>
    <t>EL11.700平面布置图</t>
    <phoneticPr fontId="2" type="noConversion"/>
  </si>
  <si>
    <t>H294×200×8×12</t>
    <phoneticPr fontId="2" type="noConversion"/>
  </si>
  <si>
    <t>7-0.125*2</t>
    <phoneticPr fontId="2" type="noConversion"/>
  </si>
  <si>
    <t>RB14</t>
    <phoneticPr fontId="2" type="noConversion"/>
  </si>
  <si>
    <t>7-0.195*2</t>
    <phoneticPr fontId="2" type="noConversion"/>
  </si>
  <si>
    <t>C15待定</t>
    <phoneticPr fontId="2" type="noConversion"/>
  </si>
  <si>
    <t>G14</t>
    <phoneticPr fontId="2" type="noConversion"/>
  </si>
  <si>
    <t>G15</t>
  </si>
  <si>
    <t>H340×250×9×14</t>
  </si>
  <si>
    <t>(107.85+93-6)*2</t>
    <phoneticPr fontId="2" type="noConversion"/>
  </si>
  <si>
    <t>107.85+93-0.1*2*68</t>
    <phoneticPr fontId="2" type="noConversion"/>
  </si>
  <si>
    <t>梁梁连接板</t>
    <phoneticPr fontId="2" type="noConversion"/>
  </si>
  <si>
    <t>PL120×312×8</t>
    <phoneticPr fontId="2" type="noConversion"/>
  </si>
  <si>
    <t>4*45</t>
    <phoneticPr fontId="2" type="noConversion"/>
  </si>
  <si>
    <t>PL96×270×8</t>
    <phoneticPr fontId="2" type="noConversion"/>
  </si>
  <si>
    <t>4*1</t>
    <phoneticPr fontId="2" type="noConversion"/>
  </si>
  <si>
    <t>2*68+4</t>
    <phoneticPr fontId="2" type="noConversion"/>
  </si>
  <si>
    <t>H133</t>
    <phoneticPr fontId="2" type="noConversion"/>
  </si>
  <si>
    <t>T125×125×6×9</t>
    <phoneticPr fontId="2" type="noConversion"/>
  </si>
  <si>
    <t>立面布置图</t>
    <phoneticPr fontId="2" type="noConversion"/>
  </si>
  <si>
    <t>标高</t>
    <phoneticPr fontId="2" type="noConversion"/>
  </si>
  <si>
    <t>6.400</t>
    <phoneticPr fontId="2" type="noConversion"/>
  </si>
  <si>
    <t>13.200</t>
    <phoneticPr fontId="2" type="noConversion"/>
  </si>
  <si>
    <t>EL13.200平面布置图</t>
    <phoneticPr fontId="2" type="noConversion"/>
  </si>
  <si>
    <t>6.400</t>
    <phoneticPr fontId="2" type="noConversion"/>
  </si>
  <si>
    <t>11.700</t>
    <phoneticPr fontId="2" type="noConversion"/>
  </si>
  <si>
    <t>C16</t>
    <phoneticPr fontId="2" type="noConversion"/>
  </si>
  <si>
    <t>H390×300×10×16</t>
    <phoneticPr fontId="2" type="noConversion"/>
  </si>
  <si>
    <t>C18</t>
    <phoneticPr fontId="2" type="noConversion"/>
  </si>
  <si>
    <t>H488×300×11×18</t>
    <phoneticPr fontId="2" type="noConversion"/>
  </si>
  <si>
    <t>C19</t>
    <phoneticPr fontId="2" type="noConversion"/>
  </si>
  <si>
    <t>H588×300×12×20</t>
    <phoneticPr fontId="2" type="noConversion"/>
  </si>
  <si>
    <t>C6</t>
    <phoneticPr fontId="2" type="noConversion"/>
  </si>
  <si>
    <t>？？？H250×250×9×14</t>
    <phoneticPr fontId="2" type="noConversion"/>
  </si>
  <si>
    <t>C49a</t>
    <phoneticPr fontId="2" type="noConversion"/>
  </si>
  <si>
    <t>H600×400×20×30</t>
    <phoneticPr fontId="2" type="noConversion"/>
  </si>
  <si>
    <t>EL14.200平面布置图</t>
  </si>
  <si>
    <t>EL14.200平面布置图</t>
    <phoneticPr fontId="2" type="noConversion"/>
  </si>
  <si>
    <t>B15</t>
    <phoneticPr fontId="2" type="noConversion"/>
  </si>
  <si>
    <t>H340×250×9×14</t>
    <phoneticPr fontId="2" type="noConversion"/>
  </si>
  <si>
    <t>9-0.125*2</t>
    <phoneticPr fontId="2" type="noConversion"/>
  </si>
  <si>
    <t>9-0.15*2</t>
    <phoneticPr fontId="2" type="noConversion"/>
  </si>
  <si>
    <t>梁梁连接板</t>
    <phoneticPr fontId="2" type="noConversion"/>
  </si>
  <si>
    <t>PL120×312×9</t>
    <phoneticPr fontId="2" type="noConversion"/>
  </si>
  <si>
    <t>4*44-2*8</t>
    <phoneticPr fontId="2" type="noConversion"/>
  </si>
  <si>
    <t>PL145×358×9</t>
    <phoneticPr fontId="2" type="noConversion"/>
  </si>
  <si>
    <t>4*3</t>
    <phoneticPr fontId="2" type="noConversion"/>
  </si>
  <si>
    <t>PL144×404×9</t>
    <phoneticPr fontId="2" type="noConversion"/>
  </si>
  <si>
    <t>RG15</t>
    <phoneticPr fontId="2" type="noConversion"/>
  </si>
  <si>
    <t>9-0.22*2</t>
    <phoneticPr fontId="2" type="noConversion"/>
  </si>
  <si>
    <t>9-0.244*2</t>
    <phoneticPr fontId="2" type="noConversion"/>
  </si>
  <si>
    <t>9-0.294*2</t>
    <phoneticPr fontId="2" type="noConversion"/>
  </si>
  <si>
    <t>9-0.244-0.294</t>
    <phoneticPr fontId="2" type="noConversion"/>
  </si>
  <si>
    <t>9-0.3*2</t>
    <phoneticPr fontId="2" type="noConversion"/>
  </si>
  <si>
    <t>(72.55-3+9*2+8+9+8.2+7.2)*2+(6.5+21.4)*3</t>
  </si>
  <si>
    <t>G16</t>
    <phoneticPr fontId="2" type="noConversion"/>
  </si>
  <si>
    <t>G17</t>
    <phoneticPr fontId="2" type="noConversion"/>
  </si>
  <si>
    <t>B23</t>
    <phoneticPr fontId="2" type="noConversion"/>
  </si>
  <si>
    <t>H200×100×5.5×8</t>
    <phoneticPr fontId="2" type="noConversion"/>
  </si>
  <si>
    <t>72.55-3+99.1+6.5+21.4-0.125*2*70</t>
    <phoneticPr fontId="2" type="noConversion"/>
  </si>
  <si>
    <t>PL120×312×9</t>
    <phoneticPr fontId="2" type="noConversion"/>
  </si>
  <si>
    <t>2*70+6</t>
    <phoneticPr fontId="2" type="noConversion"/>
  </si>
  <si>
    <t>H133</t>
    <phoneticPr fontId="2" type="noConversion"/>
  </si>
  <si>
    <t>(2.7^2+4.5^2)^0.5</t>
    <phoneticPr fontId="2" type="noConversion"/>
  </si>
  <si>
    <t>(2.4^2+4.5^2)^0.5</t>
    <phoneticPr fontId="2" type="noConversion"/>
  </si>
  <si>
    <t>(3.25^2+4.5^2)^0.5</t>
    <phoneticPr fontId="2" type="noConversion"/>
  </si>
  <si>
    <t>(2.6^2+4.5^2)^0.5</t>
    <phoneticPr fontId="2" type="noConversion"/>
  </si>
  <si>
    <t>立面布置图（一）</t>
    <phoneticPr fontId="2" type="noConversion"/>
  </si>
  <si>
    <t>11.700</t>
    <phoneticPr fontId="2" type="noConversion"/>
  </si>
  <si>
    <t>V6</t>
    <phoneticPr fontId="2" type="noConversion"/>
  </si>
  <si>
    <t>？？？H200×200×8×12</t>
    <phoneticPr fontId="2" type="noConversion"/>
  </si>
  <si>
    <t>(9^2+7.8^2)^0.5</t>
  </si>
  <si>
    <t>(9^2+7.8^2)^0.5</t>
    <phoneticPr fontId="2" type="noConversion"/>
  </si>
  <si>
    <t>(8.2^2+7.8^2)^0.5</t>
  </si>
  <si>
    <t>(8.2^2+7.8^2)^0.5</t>
    <phoneticPr fontId="2" type="noConversion"/>
  </si>
  <si>
    <t>(7.2^2+7.8^2)^0.5</t>
  </si>
  <si>
    <t>(7.2^2+7.8^2)^0.5</t>
    <phoneticPr fontId="2" type="noConversion"/>
  </si>
  <si>
    <t>底标高待定</t>
    <phoneticPr fontId="2" type="noConversion"/>
  </si>
  <si>
    <t>立面布置图（二）</t>
    <phoneticPr fontId="2" type="noConversion"/>
  </si>
  <si>
    <t>立面布置图（三）</t>
    <phoneticPr fontId="2" type="noConversion"/>
  </si>
  <si>
    <t>(6.5^2+7.8^2)^0.5</t>
    <phoneticPr fontId="2" type="noConversion"/>
  </si>
  <si>
    <t>分支管廊钢结构图</t>
    <phoneticPr fontId="2" type="noConversion"/>
  </si>
  <si>
    <t>14.200</t>
    <phoneticPr fontId="2" type="noConversion"/>
  </si>
  <si>
    <t>G14</t>
    <phoneticPr fontId="2" type="noConversion"/>
  </si>
  <si>
    <t>H294×200×8×12</t>
    <phoneticPr fontId="2" type="noConversion"/>
  </si>
  <si>
    <t>RG14</t>
    <phoneticPr fontId="2" type="noConversion"/>
  </si>
  <si>
    <t>3-0.294*2</t>
    <phoneticPr fontId="2" type="noConversion"/>
  </si>
  <si>
    <t>3-0.125*2</t>
    <phoneticPr fontId="2" type="noConversion"/>
  </si>
  <si>
    <t>C6待定</t>
    <phoneticPr fontId="2" type="noConversion"/>
  </si>
  <si>
    <t>(3^2+3^2)^0.5</t>
    <phoneticPr fontId="2" type="noConversion"/>
  </si>
  <si>
    <t>B14</t>
    <phoneticPr fontId="2" type="noConversion"/>
  </si>
  <si>
    <t>H294×200×8×12</t>
    <phoneticPr fontId="2" type="noConversion"/>
  </si>
  <si>
    <t>7-0.1*2</t>
    <phoneticPr fontId="2" type="noConversion"/>
  </si>
  <si>
    <t>梁梁连接板</t>
    <phoneticPr fontId="2" type="noConversion"/>
  </si>
  <si>
    <t>PL96×270×8</t>
    <phoneticPr fontId="2" type="noConversion"/>
  </si>
  <si>
    <t>3.25-0.1*2</t>
    <phoneticPr fontId="2" type="noConversion"/>
  </si>
  <si>
    <t>H133</t>
    <phoneticPr fontId="2" type="noConversion"/>
  </si>
  <si>
    <t>(3.5^2+3.25^2)^0.5</t>
    <phoneticPr fontId="2" type="noConversion"/>
  </si>
  <si>
    <t>9.200</t>
    <phoneticPr fontId="2" type="noConversion"/>
  </si>
  <si>
    <t>8.900</t>
    <phoneticPr fontId="2" type="noConversion"/>
  </si>
  <si>
    <t>V3</t>
    <phoneticPr fontId="2" type="noConversion"/>
  </si>
  <si>
    <t>H150×150×7×10</t>
    <phoneticPr fontId="2" type="noConversion"/>
  </si>
  <si>
    <t>(3^2+2.8^2)^0.5</t>
    <phoneticPr fontId="2" type="noConversion"/>
  </si>
  <si>
    <t>(3.25^2+2.5^2)^0.5</t>
    <phoneticPr fontId="2" type="noConversion"/>
  </si>
  <si>
    <t>(3.25^2+3.8^2)^0.5*1.8*3.8</t>
    <phoneticPr fontId="2" type="noConversion"/>
  </si>
  <si>
    <t>(3^2+4^2)^0.5*1.5/4</t>
    <phoneticPr fontId="2" type="noConversion"/>
  </si>
  <si>
    <t>GJ-1详图</t>
    <phoneticPr fontId="2" type="noConversion"/>
  </si>
  <si>
    <t>BS-1</t>
    <phoneticPr fontId="2" type="noConversion"/>
  </si>
  <si>
    <t>PL380×380×30</t>
    <phoneticPr fontId="2" type="noConversion"/>
  </si>
  <si>
    <t>数量待定</t>
    <phoneticPr fontId="2" type="noConversion"/>
  </si>
  <si>
    <t>钢管柱</t>
    <phoneticPr fontId="2" type="noConversion"/>
  </si>
  <si>
    <t>PL100.5×200×10-PLT75.5×175×10</t>
    <phoneticPr fontId="2" type="noConversion"/>
  </si>
  <si>
    <t>D159×6</t>
    <phoneticPr fontId="2" type="noConversion"/>
  </si>
  <si>
    <t>9.9-0.148-6.4-0.03</t>
    <phoneticPr fontId="2" type="noConversion"/>
  </si>
  <si>
    <t>加劲肋</t>
    <phoneticPr fontId="2" type="noConversion"/>
  </si>
  <si>
    <t>PL100×200×6-PLT100×100×6</t>
    <phoneticPr fontId="2" type="noConversion"/>
  </si>
  <si>
    <t>柱顶板</t>
    <phoneticPr fontId="2" type="noConversion"/>
  </si>
  <si>
    <t>PL190×359×12</t>
    <phoneticPr fontId="2" type="noConversion"/>
  </si>
  <si>
    <t>RG11</t>
    <phoneticPr fontId="2" type="noConversion"/>
  </si>
  <si>
    <t>H148×100×6×9</t>
    <phoneticPr fontId="2" type="noConversion"/>
  </si>
  <si>
    <t>PL47×130×8</t>
    <phoneticPr fontId="2" type="noConversion"/>
  </si>
  <si>
    <t>100.000</t>
    <phoneticPr fontId="2" type="noConversion"/>
  </si>
  <si>
    <t>柱脚平面布置图（一）</t>
    <phoneticPr fontId="2" type="noConversion"/>
  </si>
  <si>
    <t>H250×250×9×14</t>
    <phoneticPr fontId="2" type="noConversion"/>
  </si>
  <si>
    <t>C7</t>
    <phoneticPr fontId="2" type="noConversion"/>
  </si>
  <si>
    <t>H300×300×10×15</t>
    <phoneticPr fontId="2" type="noConversion"/>
  </si>
  <si>
    <t>柱脚平面布置图（二）</t>
    <phoneticPr fontId="2" type="noConversion"/>
  </si>
  <si>
    <t>柱脚平面布置图（三）</t>
    <phoneticPr fontId="2" type="noConversion"/>
  </si>
  <si>
    <t>C5</t>
    <phoneticPr fontId="2" type="noConversion"/>
  </si>
  <si>
    <t>柱脚平面布置图（四）</t>
    <phoneticPr fontId="2" type="noConversion"/>
  </si>
  <si>
    <t>C9</t>
    <phoneticPr fontId="2" type="noConversion"/>
  </si>
  <si>
    <t>H400×400×13×21</t>
    <phoneticPr fontId="2" type="noConversion"/>
  </si>
  <si>
    <t>柱脚平面布置图（五）</t>
    <phoneticPr fontId="2" type="noConversion"/>
  </si>
  <si>
    <t>EL105.150平面布置图</t>
    <phoneticPr fontId="2" type="noConversion"/>
  </si>
  <si>
    <t>B1</t>
    <phoneticPr fontId="2" type="noConversion"/>
  </si>
  <si>
    <t>H100×100×6×8</t>
    <phoneticPr fontId="2" type="noConversion"/>
  </si>
  <si>
    <t>B12</t>
    <phoneticPr fontId="2" type="noConversion"/>
  </si>
  <si>
    <t>4.5-0.075*2</t>
    <phoneticPr fontId="2" type="noConversion"/>
  </si>
  <si>
    <t>H194×150×6×9</t>
    <phoneticPr fontId="2" type="noConversion"/>
  </si>
  <si>
    <t>PL72×176×6</t>
    <phoneticPr fontId="2" type="noConversion"/>
  </si>
  <si>
    <t>RG12</t>
    <phoneticPr fontId="2" type="noConversion"/>
  </si>
  <si>
    <t>1-0.15</t>
    <phoneticPr fontId="2" type="noConversion"/>
  </si>
  <si>
    <t>PL145×358×6</t>
    <phoneticPr fontId="2" type="noConversion"/>
  </si>
  <si>
    <t>G14</t>
    <phoneticPr fontId="2" type="noConversion"/>
  </si>
  <si>
    <t>G15</t>
    <phoneticPr fontId="2" type="noConversion"/>
  </si>
  <si>
    <t>7-0.15*2</t>
    <phoneticPr fontId="2" type="noConversion"/>
  </si>
  <si>
    <t>G16</t>
    <phoneticPr fontId="2" type="noConversion"/>
  </si>
  <si>
    <t>H390×300×10×16</t>
    <phoneticPr fontId="2" type="noConversion"/>
  </si>
  <si>
    <t>B22</t>
    <phoneticPr fontId="2" type="noConversion"/>
  </si>
  <si>
    <t>H150×75×5×7</t>
    <phoneticPr fontId="2" type="noConversion"/>
  </si>
  <si>
    <t>1-0.075-0.15</t>
    <phoneticPr fontId="2" type="noConversion"/>
  </si>
  <si>
    <t>PL72×176×5</t>
    <phoneticPr fontId="2" type="noConversion"/>
  </si>
  <si>
    <t>2*2</t>
    <phoneticPr fontId="2" type="noConversion"/>
  </si>
  <si>
    <t>PL145×358×5</t>
    <phoneticPr fontId="2" type="noConversion"/>
  </si>
  <si>
    <t>B22</t>
    <phoneticPr fontId="2" type="noConversion"/>
  </si>
  <si>
    <t>68.45-0.125*12-0.075*30-0.0875*6</t>
    <phoneticPr fontId="2" type="noConversion"/>
  </si>
  <si>
    <t>PL120×312×5</t>
    <phoneticPr fontId="2" type="noConversion"/>
  </si>
  <si>
    <t>PL71×282×5</t>
    <phoneticPr fontId="2" type="noConversion"/>
  </si>
  <si>
    <t>2*15</t>
    <phoneticPr fontId="2" type="noConversion"/>
  </si>
  <si>
    <t>PL84×328×5</t>
    <phoneticPr fontId="2" type="noConversion"/>
  </si>
  <si>
    <t>2*3</t>
    <phoneticPr fontId="2" type="noConversion"/>
  </si>
  <si>
    <t>B25</t>
  </si>
  <si>
    <t>B25</t>
    <phoneticPr fontId="2" type="noConversion"/>
  </si>
  <si>
    <t>H300×150×6.5×9</t>
  </si>
  <si>
    <t>H300×150×6.5×9</t>
    <phoneticPr fontId="2" type="noConversion"/>
  </si>
  <si>
    <t>7-0.125*2</t>
    <phoneticPr fontId="2" type="noConversion"/>
  </si>
  <si>
    <t>PL96×270×6.5</t>
    <phoneticPr fontId="2" type="noConversion"/>
  </si>
  <si>
    <t>PL120×312×6.5</t>
    <phoneticPr fontId="2" type="noConversion"/>
  </si>
  <si>
    <t>4*9</t>
    <phoneticPr fontId="2" type="noConversion"/>
  </si>
  <si>
    <t>7-0.1*2</t>
    <phoneticPr fontId="2" type="noConversion"/>
  </si>
  <si>
    <t>PL96×374×6.5</t>
    <phoneticPr fontId="2" type="noConversion"/>
  </si>
  <si>
    <t>4*5</t>
    <phoneticPr fontId="2" type="noConversion"/>
  </si>
  <si>
    <t>B26</t>
    <phoneticPr fontId="2" type="noConversion"/>
  </si>
  <si>
    <t>H350×175×7×11</t>
    <phoneticPr fontId="2" type="noConversion"/>
  </si>
  <si>
    <t>梁梁连接板</t>
    <phoneticPr fontId="2" type="noConversion"/>
  </si>
  <si>
    <t>PL145×358×7</t>
    <phoneticPr fontId="2" type="noConversion"/>
  </si>
  <si>
    <t>(2.3^2+3.5^2)^0.5</t>
    <phoneticPr fontId="2" type="noConversion"/>
  </si>
  <si>
    <t>(2.2^2+3.5^2)^0.5</t>
    <phoneticPr fontId="2" type="noConversion"/>
  </si>
  <si>
    <t>(3.075^2+3.5^2)^0.5</t>
    <phoneticPr fontId="2" type="noConversion"/>
  </si>
  <si>
    <t>(2.65^2+3.5^2)^0.5</t>
    <phoneticPr fontId="2" type="noConversion"/>
  </si>
  <si>
    <t>EL105.500平面布置图（一）</t>
    <phoneticPr fontId="2" type="noConversion"/>
  </si>
  <si>
    <t>EL105.500平面布置图（二）</t>
    <phoneticPr fontId="2" type="noConversion"/>
  </si>
  <si>
    <t>105.500</t>
    <phoneticPr fontId="2" type="noConversion"/>
  </si>
  <si>
    <t>105.150</t>
    <phoneticPr fontId="2" type="noConversion"/>
  </si>
  <si>
    <t>104.000</t>
    <phoneticPr fontId="2" type="noConversion"/>
  </si>
  <si>
    <t>P4</t>
    <phoneticPr fontId="2" type="noConversion"/>
  </si>
  <si>
    <t>H175×175×7.5×11</t>
    <phoneticPr fontId="2" type="noConversion"/>
  </si>
  <si>
    <t>105.5-104-0.34+0.3</t>
    <phoneticPr fontId="2" type="noConversion"/>
  </si>
  <si>
    <t>G13</t>
    <phoneticPr fontId="2" type="noConversion"/>
  </si>
  <si>
    <t>H244×175×7×11</t>
    <phoneticPr fontId="2" type="noConversion"/>
  </si>
  <si>
    <t>7-0.0875*2</t>
    <phoneticPr fontId="2" type="noConversion"/>
  </si>
  <si>
    <t>梁梁连接板</t>
    <phoneticPr fontId="2" type="noConversion"/>
  </si>
  <si>
    <t>PL83×153×7</t>
    <phoneticPr fontId="2" type="noConversion"/>
  </si>
  <si>
    <t>4*1</t>
    <phoneticPr fontId="2" type="noConversion"/>
  </si>
  <si>
    <t>105.500</t>
    <phoneticPr fontId="2" type="noConversion"/>
  </si>
  <si>
    <t>G15</t>
    <phoneticPr fontId="2" type="noConversion"/>
  </si>
  <si>
    <t>9*2+7*6+9*8+8*2+9*4+7*2</t>
    <phoneticPr fontId="2" type="noConversion"/>
  </si>
  <si>
    <t>RG15</t>
    <phoneticPr fontId="2" type="noConversion"/>
  </si>
  <si>
    <t>B22</t>
    <phoneticPr fontId="2" type="noConversion"/>
  </si>
  <si>
    <t>2*8-1</t>
    <phoneticPr fontId="2" type="noConversion"/>
  </si>
  <si>
    <t>66.2-3+66-3-0.125*2*16-0.075*2*28-0.0875*2*1</t>
    <phoneticPr fontId="2" type="noConversion"/>
  </si>
  <si>
    <t>2*19-2</t>
    <phoneticPr fontId="2" type="noConversion"/>
  </si>
  <si>
    <t>2*28</t>
    <phoneticPr fontId="2" type="noConversion"/>
  </si>
  <si>
    <t>2*1</t>
    <phoneticPr fontId="2" type="noConversion"/>
  </si>
  <si>
    <t>P3</t>
    <phoneticPr fontId="2" type="noConversion"/>
  </si>
  <si>
    <t>G24</t>
    <phoneticPr fontId="2" type="noConversion"/>
  </si>
  <si>
    <t>5-0.075*2</t>
    <phoneticPr fontId="2" type="noConversion"/>
  </si>
  <si>
    <t>PL71×130×6</t>
    <phoneticPr fontId="2" type="noConversion"/>
  </si>
  <si>
    <t>PL120×312×6.5</t>
    <phoneticPr fontId="2" type="noConversion"/>
  </si>
  <si>
    <t>4*24</t>
    <phoneticPr fontId="2" type="noConversion"/>
  </si>
  <si>
    <t>7-0.075*2</t>
    <phoneticPr fontId="2" type="noConversion"/>
  </si>
  <si>
    <t>PL71×282×6.5</t>
    <phoneticPr fontId="2" type="noConversion"/>
  </si>
  <si>
    <t>PL84×328×6.5</t>
    <phoneticPr fontId="2" type="noConversion"/>
  </si>
  <si>
    <t>4*2</t>
    <phoneticPr fontId="2" type="noConversion"/>
  </si>
  <si>
    <t>PL95×422×6.5</t>
    <phoneticPr fontId="2" type="noConversion"/>
  </si>
  <si>
    <t>4*1</t>
    <phoneticPr fontId="2" type="noConversion"/>
  </si>
  <si>
    <t>PL84×328×7</t>
    <phoneticPr fontId="2" type="noConversion"/>
  </si>
  <si>
    <t>G26</t>
    <phoneticPr fontId="2" type="noConversion"/>
  </si>
  <si>
    <t>6.2*2+6.5*2</t>
    <phoneticPr fontId="2" type="noConversion"/>
  </si>
  <si>
    <t>G28</t>
    <phoneticPr fontId="2" type="noConversion"/>
  </si>
  <si>
    <t>H450×200×9×14</t>
    <phoneticPr fontId="2" type="noConversion"/>
  </si>
  <si>
    <t>T125×125×6×9</t>
    <phoneticPr fontId="2" type="noConversion"/>
  </si>
  <si>
    <t>(2.5^2+3.5^2)^0.5</t>
    <phoneticPr fontId="2" type="noConversion"/>
  </si>
  <si>
    <t>(2^2+3.5^2)^0.5</t>
    <phoneticPr fontId="2" type="noConversion"/>
  </si>
  <si>
    <t>(3^2+3.5^2)^0.5</t>
    <phoneticPr fontId="2" type="noConversion"/>
  </si>
  <si>
    <t>(3.2^2+3.5^2)^0.5</t>
    <phoneticPr fontId="2" type="noConversion"/>
  </si>
  <si>
    <t>(3.1^2+3.5^2)^0.5</t>
    <phoneticPr fontId="2" type="noConversion"/>
  </si>
  <si>
    <t>EL105.500平面布置图（三）</t>
    <phoneticPr fontId="2" type="noConversion"/>
  </si>
  <si>
    <t>104.600</t>
    <phoneticPr fontId="2" type="noConversion"/>
  </si>
  <si>
    <t>B13</t>
    <phoneticPr fontId="2" type="noConversion"/>
  </si>
  <si>
    <t>H244×175×7×11</t>
    <phoneticPr fontId="2" type="noConversion"/>
  </si>
  <si>
    <t>9-0.1*2</t>
    <phoneticPr fontId="2" type="noConversion"/>
  </si>
  <si>
    <t>PL96×270×7</t>
    <phoneticPr fontId="2" type="noConversion"/>
  </si>
  <si>
    <t>G15</t>
    <phoneticPr fontId="2" type="noConversion"/>
  </si>
  <si>
    <t>PL84×222×5.5</t>
    <phoneticPr fontId="2" type="noConversion"/>
  </si>
  <si>
    <t>4*3</t>
    <phoneticPr fontId="2" type="noConversion"/>
  </si>
  <si>
    <t>B72</t>
    <phoneticPr fontId="2" type="noConversion"/>
  </si>
  <si>
    <t>[10</t>
    <phoneticPr fontId="2" type="noConversion"/>
  </si>
  <si>
    <t>2*9+3*3</t>
    <phoneticPr fontId="2" type="noConversion"/>
  </si>
  <si>
    <t>104.900</t>
    <phoneticPr fontId="2" type="noConversion"/>
  </si>
  <si>
    <t>3.5-0.05*2</t>
    <phoneticPr fontId="2" type="noConversion"/>
  </si>
  <si>
    <t>PL47×184×5</t>
    <phoneticPr fontId="2" type="noConversion"/>
  </si>
  <si>
    <t>RG23</t>
    <phoneticPr fontId="2" type="noConversion"/>
  </si>
  <si>
    <t>2.2-0.0875*2</t>
    <phoneticPr fontId="2" type="noConversion"/>
  </si>
  <si>
    <t>(2^2+2.2^2)^0.5</t>
    <phoneticPr fontId="2" type="noConversion"/>
  </si>
  <si>
    <t>(3^2+2.2^2)^0.5</t>
    <phoneticPr fontId="2" type="noConversion"/>
  </si>
  <si>
    <t>6*2+9*4+18.65*2</t>
    <phoneticPr fontId="2" type="noConversion"/>
  </si>
  <si>
    <t>3.5-0.125*2</t>
    <phoneticPr fontId="2" type="noConversion"/>
  </si>
  <si>
    <t>9*2+7.5*2</t>
    <phoneticPr fontId="2" type="noConversion"/>
  </si>
  <si>
    <t>60-9-0.125*2*5-0.075*2*13</t>
    <phoneticPr fontId="2" type="noConversion"/>
  </si>
  <si>
    <t>2*6-2</t>
    <phoneticPr fontId="2" type="noConversion"/>
  </si>
  <si>
    <t>2*13</t>
    <phoneticPr fontId="2" type="noConversion"/>
  </si>
  <si>
    <t>3.5-0.1*2</t>
    <phoneticPr fontId="2" type="noConversion"/>
  </si>
  <si>
    <t>PL96×270×5.5</t>
    <phoneticPr fontId="2" type="noConversion"/>
  </si>
  <si>
    <t>G16</t>
    <phoneticPr fontId="2" type="noConversion"/>
  </si>
  <si>
    <t>H390×300×10×16</t>
    <phoneticPr fontId="2" type="noConversion"/>
  </si>
  <si>
    <t>4*4</t>
    <phoneticPr fontId="2" type="noConversion"/>
  </si>
  <si>
    <t>PL145×358×6.5</t>
    <phoneticPr fontId="2" type="noConversion"/>
  </si>
  <si>
    <t>G27</t>
    <phoneticPr fontId="2" type="noConversion"/>
  </si>
  <si>
    <t>H400×200×8×13</t>
    <phoneticPr fontId="2" type="noConversion"/>
  </si>
  <si>
    <t>(3^2+3.5^2)^0.5</t>
    <phoneticPr fontId="2" type="noConversion"/>
  </si>
  <si>
    <t>(2.625^2+3.5^2)^0.5</t>
    <phoneticPr fontId="2" type="noConversion"/>
  </si>
  <si>
    <t>(3^2+3.5^2)^0.5</t>
    <phoneticPr fontId="2" type="noConversion"/>
  </si>
  <si>
    <t>(3.125^2+3.5^2)^0.5</t>
    <phoneticPr fontId="2" type="noConversion"/>
  </si>
  <si>
    <t>107.000</t>
    <phoneticPr fontId="2" type="noConversion"/>
  </si>
  <si>
    <t>RG14</t>
    <phoneticPr fontId="2" type="noConversion"/>
  </si>
  <si>
    <t>梁梁连接板</t>
    <phoneticPr fontId="2" type="noConversion"/>
  </si>
  <si>
    <t>PL96×270×6</t>
    <phoneticPr fontId="2" type="noConversion"/>
  </si>
  <si>
    <t>3.5-0.075*2</t>
    <phoneticPr fontId="2" type="noConversion"/>
  </si>
  <si>
    <t>PL71×282×6</t>
    <phoneticPr fontId="2" type="noConversion"/>
  </si>
  <si>
    <t>4*7</t>
    <phoneticPr fontId="2" type="noConversion"/>
  </si>
  <si>
    <t>G25</t>
    <phoneticPr fontId="2" type="noConversion"/>
  </si>
  <si>
    <t>H100</t>
    <phoneticPr fontId="2" type="noConversion"/>
  </si>
  <si>
    <t>L90×8</t>
    <phoneticPr fontId="2" type="noConversion"/>
  </si>
  <si>
    <t>(1.75^2+2.375^2)^0.5</t>
    <phoneticPr fontId="2" type="noConversion"/>
  </si>
  <si>
    <t>EL107.000平面布置图（一）</t>
    <phoneticPr fontId="2" type="noConversion"/>
  </si>
  <si>
    <t>(2.2-0.125)+(2.2-0.15)</t>
    <phoneticPr fontId="2" type="noConversion"/>
  </si>
  <si>
    <t>(7-0.125*2)*5+(7-0.15*2)*13</t>
    <phoneticPr fontId="2" type="noConversion"/>
  </si>
  <si>
    <t>(7-0.125*2)*5+(7-0.15*2)*3</t>
    <phoneticPr fontId="2" type="noConversion"/>
  </si>
  <si>
    <t>(7-0.125*2)+(7-0.15*2)*4</t>
    <phoneticPr fontId="2" type="noConversion"/>
  </si>
  <si>
    <t>(3.5-0.1*2)+(3.5-0.15*2)*2</t>
    <phoneticPr fontId="2" type="noConversion"/>
  </si>
  <si>
    <t>(1-0.2)+(1-0.195)+(1-0.15)*2</t>
    <phoneticPr fontId="2" type="noConversion"/>
  </si>
  <si>
    <t>梁梁连接板</t>
    <phoneticPr fontId="2" type="noConversion"/>
  </si>
  <si>
    <t>1*2</t>
    <phoneticPr fontId="2" type="noConversion"/>
  </si>
  <si>
    <t>H340×250×9×14</t>
    <phoneticPr fontId="2" type="noConversion"/>
  </si>
  <si>
    <t>G16</t>
    <phoneticPr fontId="2" type="noConversion"/>
  </si>
  <si>
    <t>H390×300×10×16</t>
    <phoneticPr fontId="2" type="noConversion"/>
  </si>
  <si>
    <t>20.5*2+9*2*4</t>
    <phoneticPr fontId="2" type="noConversion"/>
  </si>
  <si>
    <t>RG16</t>
    <phoneticPr fontId="2" type="noConversion"/>
  </si>
  <si>
    <t>(9-0.2*2)*2+(9-0.195*2)*9</t>
    <phoneticPr fontId="2" type="noConversion"/>
  </si>
  <si>
    <t>(2.45-0.075*2)+(3-0.075*2)</t>
    <phoneticPr fontId="2" type="noConversion"/>
  </si>
  <si>
    <t>43+45-0.15*2*10-0.0875*2*23</t>
    <phoneticPr fontId="2" type="noConversion"/>
  </si>
  <si>
    <t>梁梁连接板</t>
    <phoneticPr fontId="2" type="noConversion"/>
  </si>
  <si>
    <t>PL145×358×5.5</t>
    <phoneticPr fontId="2" type="noConversion"/>
  </si>
  <si>
    <t>2*11</t>
    <phoneticPr fontId="2" type="noConversion"/>
  </si>
  <si>
    <t>PL84×328×5.5</t>
    <phoneticPr fontId="2" type="noConversion"/>
  </si>
  <si>
    <t>2*23</t>
    <phoneticPr fontId="2" type="noConversion"/>
  </si>
  <si>
    <t>PL120×312×7</t>
    <phoneticPr fontId="2" type="noConversion"/>
  </si>
  <si>
    <t>PL96×374×7</t>
    <phoneticPr fontId="2" type="noConversion"/>
  </si>
  <si>
    <t>(9-0.125*2)*2+(9-0.15*2)*15+(9-0.0875*2)*2+(9-0.1*2)*4</t>
    <phoneticPr fontId="2" type="noConversion"/>
  </si>
  <si>
    <t>6.25*2+5*2</t>
    <phoneticPr fontId="2" type="noConversion"/>
  </si>
  <si>
    <t>6.5*2+6.75*2</t>
    <phoneticPr fontId="2" type="noConversion"/>
  </si>
  <si>
    <t>H134</t>
    <phoneticPr fontId="2" type="noConversion"/>
  </si>
  <si>
    <t>T150×150×6.5×9</t>
    <phoneticPr fontId="2" type="noConversion"/>
  </si>
  <si>
    <t>(4.5^2+2.45^2)^0.5</t>
    <phoneticPr fontId="2" type="noConversion"/>
  </si>
  <si>
    <t>(4.5^2+2.6^2)^0.5</t>
    <phoneticPr fontId="2" type="noConversion"/>
  </si>
  <si>
    <t>(4.5^2+2.5^2)^0.5</t>
    <phoneticPr fontId="2" type="noConversion"/>
  </si>
  <si>
    <t>(4.5^2+2^2)^0.5</t>
    <phoneticPr fontId="2" type="noConversion"/>
  </si>
  <si>
    <t>(4.5^2+3^2)^0.5</t>
    <phoneticPr fontId="2" type="noConversion"/>
  </si>
  <si>
    <t>4*15-2</t>
    <phoneticPr fontId="2" type="noConversion"/>
  </si>
  <si>
    <t>EL107.000平面布置图（二）</t>
    <phoneticPr fontId="2" type="noConversion"/>
  </si>
  <si>
    <t>(1-0.195)*3+(1-0.0875)+(1-0.15)*2</t>
    <phoneticPr fontId="2" type="noConversion"/>
  </si>
  <si>
    <t>梁梁连接板</t>
  </si>
  <si>
    <t>PL84×328×6</t>
    <phoneticPr fontId="2" type="noConversion"/>
  </si>
  <si>
    <t>1*2</t>
  </si>
  <si>
    <t>G16</t>
    <phoneticPr fontId="2" type="noConversion"/>
  </si>
  <si>
    <t>H390×300×10×16</t>
    <phoneticPr fontId="2" type="noConversion"/>
  </si>
  <si>
    <t>9*8+7.5*2</t>
    <phoneticPr fontId="2" type="noConversion"/>
  </si>
  <si>
    <t>RG16</t>
    <phoneticPr fontId="2" type="noConversion"/>
  </si>
  <si>
    <t>B22</t>
    <phoneticPr fontId="2" type="noConversion"/>
  </si>
  <si>
    <t>H150×75×5×7</t>
    <phoneticPr fontId="2" type="noConversion"/>
  </si>
  <si>
    <t>(3-0.075*2)+(2.5-0.075*2)*2</t>
    <phoneticPr fontId="2" type="noConversion"/>
  </si>
  <si>
    <t>PL72×176×7</t>
    <phoneticPr fontId="2" type="noConversion"/>
  </si>
  <si>
    <t>4*3</t>
    <phoneticPr fontId="2" type="noConversion"/>
  </si>
  <si>
    <t>B23</t>
  </si>
  <si>
    <t>H200×100×5.5×8</t>
  </si>
  <si>
    <t>45-3+26.5-0.15*2*10-0.0875*2*14</t>
    <phoneticPr fontId="2" type="noConversion"/>
  </si>
  <si>
    <t>(9-0.195*2)*10+(9-0.15)</t>
    <phoneticPr fontId="2" type="noConversion"/>
  </si>
  <si>
    <t>PL145×358×10</t>
    <phoneticPr fontId="2" type="noConversion"/>
  </si>
  <si>
    <t>2*14</t>
    <phoneticPr fontId="2" type="noConversion"/>
  </si>
  <si>
    <t>(9-0.125*2)+(9-0.15*2)*9+(9-0.0875*2)*2+(9-0.1*2)*2</t>
    <phoneticPr fontId="2" type="noConversion"/>
  </si>
  <si>
    <t>G26</t>
    <phoneticPr fontId="2" type="noConversion"/>
  </si>
  <si>
    <t>H350×175×7×11</t>
    <phoneticPr fontId="2" type="noConversion"/>
  </si>
  <si>
    <t>EL107.000平面布置图（二）</t>
    <phoneticPr fontId="2" type="noConversion"/>
  </si>
  <si>
    <t>106.610</t>
    <phoneticPr fontId="2" type="noConversion"/>
  </si>
  <si>
    <t>EL106.610平面布置图</t>
    <phoneticPr fontId="2" type="noConversion"/>
  </si>
  <si>
    <t>H100×100×6×8</t>
  </si>
  <si>
    <t>2.5+0.15*2</t>
    <phoneticPr fontId="2" type="noConversion"/>
  </si>
  <si>
    <t>4.5+0.0875*2</t>
    <phoneticPr fontId="2" type="noConversion"/>
  </si>
  <si>
    <t>AA轴立面布置图（一）</t>
    <phoneticPr fontId="2" type="noConversion"/>
  </si>
  <si>
    <t>V5</t>
  </si>
  <si>
    <t>H200×200×8×12</t>
  </si>
  <si>
    <t>(5.3^2+5.3^2)^0.5</t>
    <phoneticPr fontId="2" type="noConversion"/>
  </si>
  <si>
    <t>(7^2+5.3^2)^0.5</t>
    <phoneticPr fontId="2" type="noConversion"/>
  </si>
  <si>
    <t>AA轴立面布置图（二）</t>
    <phoneticPr fontId="2" type="noConversion"/>
  </si>
  <si>
    <t>(6^2+5.3^2)^0.5</t>
    <phoneticPr fontId="2" type="noConversion"/>
  </si>
  <si>
    <t>底标高待定</t>
  </si>
  <si>
    <t>AB轴立面布置图（一）</t>
    <phoneticPr fontId="2" type="noConversion"/>
  </si>
  <si>
    <t>(4.5^2+5.3^2)^0.5</t>
    <phoneticPr fontId="2" type="noConversion"/>
  </si>
  <si>
    <t>(3.5^2+5.3^2)^0.5</t>
    <phoneticPr fontId="2" type="noConversion"/>
  </si>
  <si>
    <t>G13</t>
    <phoneticPr fontId="2" type="noConversion"/>
  </si>
  <si>
    <t>H244×175×7×11</t>
  </si>
  <si>
    <t>H244×175×7×11</t>
    <phoneticPr fontId="2" type="noConversion"/>
  </si>
  <si>
    <t>G14</t>
    <phoneticPr fontId="2" type="noConversion"/>
  </si>
  <si>
    <t>H294×200×8×12</t>
    <phoneticPr fontId="2" type="noConversion"/>
  </si>
  <si>
    <t>AB轴立面布置图（二）</t>
    <phoneticPr fontId="2" type="noConversion"/>
  </si>
  <si>
    <t>H300×150×6.5×9</t>
    <phoneticPr fontId="2" type="noConversion"/>
  </si>
  <si>
    <t>(4.5^2+5.3^2)^0.5</t>
    <phoneticPr fontId="2" type="noConversion"/>
  </si>
  <si>
    <t>(6^2+5.3^2)^0.5</t>
    <phoneticPr fontId="2" type="noConversion"/>
  </si>
  <si>
    <t>AA/1轴立面布置图</t>
    <phoneticPr fontId="2" type="noConversion"/>
  </si>
  <si>
    <t>V6</t>
    <phoneticPr fontId="2" type="noConversion"/>
  </si>
  <si>
    <t>H250×250×9×14</t>
    <phoneticPr fontId="2" type="noConversion"/>
  </si>
  <si>
    <t>(6^2+6.8^2)^0.5</t>
  </si>
  <si>
    <t>(6^2+6.8^2)^0.5</t>
    <phoneticPr fontId="2" type="noConversion"/>
  </si>
  <si>
    <t>(7^2+6.8^2)^0.5</t>
    <phoneticPr fontId="2" type="noConversion"/>
  </si>
  <si>
    <t>V7</t>
    <phoneticPr fontId="2" type="noConversion"/>
  </si>
  <si>
    <t>？？？H300×300×10×15</t>
    <phoneticPr fontId="2" type="noConversion"/>
  </si>
  <si>
    <t>(9^2+6.8^2)^0.5</t>
    <phoneticPr fontId="2" type="noConversion"/>
  </si>
  <si>
    <t>13轴立面布置图（一）</t>
    <phoneticPr fontId="2" type="noConversion"/>
  </si>
  <si>
    <t>14轴立面布置图（一）</t>
    <phoneticPr fontId="2" type="noConversion"/>
  </si>
  <si>
    <t>(6^2+6.8^2)^0.5</t>
    <phoneticPr fontId="2" type="noConversion"/>
  </si>
  <si>
    <t>14轴立面布置图（一）</t>
    <phoneticPr fontId="2" type="noConversion"/>
  </si>
  <si>
    <t>28轴立面布置图</t>
    <phoneticPr fontId="2" type="noConversion"/>
  </si>
  <si>
    <t>V132</t>
  </si>
  <si>
    <t>V132</t>
    <phoneticPr fontId="2" type="noConversion"/>
  </si>
  <si>
    <t>T100×100×5.5×8</t>
  </si>
  <si>
    <t>T100×100×5.5×8</t>
    <phoneticPr fontId="2" type="noConversion"/>
  </si>
  <si>
    <t>(1.7^2+1.7^2)^0.5</t>
  </si>
  <si>
    <t>(1.7^2+1.7^2)^0.5</t>
    <phoneticPr fontId="2" type="noConversion"/>
  </si>
  <si>
    <t>(1.7^2+1.7^2)^0.5*0.9/1.7</t>
  </si>
  <si>
    <t>(1.7^2+1.7^2)^0.5*0.9/1.7</t>
    <phoneticPr fontId="2" type="noConversion"/>
  </si>
  <si>
    <t>29轴立面布置图</t>
    <phoneticPr fontId="2" type="noConversion"/>
  </si>
  <si>
    <t>29轴立面布置图</t>
    <phoneticPr fontId="2" type="noConversion"/>
  </si>
  <si>
    <t>31/1轴立面布置图</t>
    <phoneticPr fontId="2" type="noConversion"/>
  </si>
  <si>
    <t>V95</t>
  </si>
  <si>
    <t>V95</t>
    <phoneticPr fontId="2" type="noConversion"/>
  </si>
  <si>
    <t>L63×8</t>
  </si>
  <si>
    <t>L63×8</t>
    <phoneticPr fontId="2" type="noConversion"/>
  </si>
  <si>
    <t>(1.4^2+1.4^2)^0.5</t>
  </si>
  <si>
    <t>(1.4^2+1.4^2)^0.5</t>
    <phoneticPr fontId="2" type="noConversion"/>
  </si>
  <si>
    <t>30轴立面布置图</t>
    <phoneticPr fontId="2" type="noConversion"/>
  </si>
  <si>
    <t>？？？</t>
    <phoneticPr fontId="2" type="noConversion"/>
  </si>
  <si>
    <t>C3</t>
    <phoneticPr fontId="2" type="noConversion"/>
  </si>
  <si>
    <t>C4</t>
    <phoneticPr fontId="2" type="noConversion"/>
  </si>
  <si>
    <t>H175×175×7.5×11</t>
    <phoneticPr fontId="2" type="noConversion"/>
  </si>
  <si>
    <t>C5</t>
    <phoneticPr fontId="2" type="noConversion"/>
  </si>
  <si>
    <t>H200×200×8×12</t>
    <phoneticPr fontId="2" type="noConversion"/>
  </si>
  <si>
    <t>C6</t>
    <phoneticPr fontId="2" type="noConversion"/>
  </si>
  <si>
    <t>EL103.000平面布置图</t>
  </si>
  <si>
    <t>B2</t>
    <phoneticPr fontId="2" type="noConversion"/>
  </si>
  <si>
    <t>H125×125×6.5×9</t>
    <phoneticPr fontId="2" type="noConversion"/>
  </si>
  <si>
    <t>0.6-0.0875-0.125</t>
    <phoneticPr fontId="2" type="noConversion"/>
  </si>
  <si>
    <t>P2待定</t>
    <phoneticPr fontId="2" type="noConversion"/>
  </si>
  <si>
    <t>P2</t>
    <phoneticPr fontId="2" type="noConversion"/>
  </si>
  <si>
    <t>？？？H125×125×6.5×9</t>
    <phoneticPr fontId="2" type="noConversion"/>
  </si>
  <si>
    <t>1.5+0.22+0.05+0.125+0.1</t>
    <phoneticPr fontId="2" type="noConversion"/>
  </si>
  <si>
    <t>加劲板</t>
    <phoneticPr fontId="2" type="noConversion"/>
  </si>
  <si>
    <t>PL59×107×6.5</t>
    <phoneticPr fontId="2" type="noConversion"/>
  </si>
  <si>
    <t>P2待定</t>
    <phoneticPr fontId="2" type="noConversion"/>
  </si>
  <si>
    <t>G21</t>
    <phoneticPr fontId="2" type="noConversion"/>
  </si>
  <si>
    <t>102.350</t>
    <phoneticPr fontId="2" type="noConversion"/>
  </si>
  <si>
    <t>101.450</t>
    <phoneticPr fontId="2" type="noConversion"/>
  </si>
  <si>
    <t>101.450</t>
    <phoneticPr fontId="2" type="noConversion"/>
  </si>
  <si>
    <t>102.900</t>
    <phoneticPr fontId="2" type="noConversion"/>
  </si>
  <si>
    <t>H100×50×5×7</t>
  </si>
  <si>
    <t>H100×50×5×7</t>
    <phoneticPr fontId="2" type="noConversion"/>
  </si>
  <si>
    <t>1-0.075*2</t>
    <phoneticPr fontId="2" type="noConversion"/>
  </si>
  <si>
    <t>102.750</t>
    <phoneticPr fontId="2" type="noConversion"/>
  </si>
  <si>
    <t>103.150</t>
    <phoneticPr fontId="2" type="noConversion"/>
  </si>
  <si>
    <t>103.550</t>
    <phoneticPr fontId="2" type="noConversion"/>
  </si>
  <si>
    <t>(1-0.075*2)*6+1.5*6</t>
    <phoneticPr fontId="2" type="noConversion"/>
  </si>
  <si>
    <t>103.000</t>
    <phoneticPr fontId="2" type="noConversion"/>
  </si>
  <si>
    <t>101.500</t>
    <phoneticPr fontId="2" type="noConversion"/>
  </si>
  <si>
    <t>RG13</t>
  </si>
  <si>
    <t>RG13</t>
    <phoneticPr fontId="2" type="noConversion"/>
  </si>
  <si>
    <t>H244×175×7×11</t>
    <phoneticPr fontId="2" type="noConversion"/>
  </si>
  <si>
    <t>1.65-0.1</t>
  </si>
  <si>
    <t>1.65-0.1</t>
    <phoneticPr fontId="2" type="noConversion"/>
  </si>
  <si>
    <t>B21</t>
  </si>
  <si>
    <t>B21</t>
    <phoneticPr fontId="2" type="noConversion"/>
  </si>
  <si>
    <t>H100×50×5×7</t>
    <phoneticPr fontId="2" type="noConversion"/>
  </si>
  <si>
    <t>0.55-0.05*2</t>
  </si>
  <si>
    <t>0.55-0.05*2</t>
    <phoneticPr fontId="2" type="noConversion"/>
  </si>
  <si>
    <t>PL47×184×5</t>
  </si>
  <si>
    <t>4*6</t>
  </si>
  <si>
    <t>4*6</t>
    <phoneticPr fontId="2" type="noConversion"/>
  </si>
  <si>
    <t>6-0.0875*2</t>
  </si>
  <si>
    <t>6-0.0875*2</t>
    <phoneticPr fontId="2" type="noConversion"/>
  </si>
  <si>
    <t>PL84×222×5.5</t>
  </si>
  <si>
    <t>2*4+2</t>
  </si>
  <si>
    <t>2*4+2</t>
    <phoneticPr fontId="2" type="noConversion"/>
  </si>
  <si>
    <t>RG23</t>
  </si>
  <si>
    <t>1.5-0.0875</t>
  </si>
  <si>
    <t>1.5-0.0875</t>
    <phoneticPr fontId="2" type="noConversion"/>
  </si>
  <si>
    <t>梁梁连接板</t>
    <phoneticPr fontId="2" type="noConversion"/>
  </si>
  <si>
    <t>H95</t>
  </si>
  <si>
    <t>H95</t>
    <phoneticPr fontId="2" type="noConversion"/>
  </si>
  <si>
    <t>(1^2+1.1^2)^0.5</t>
  </si>
  <si>
    <t>(1^2+1.1^2)^0.5</t>
    <phoneticPr fontId="2" type="noConversion"/>
  </si>
  <si>
    <t>(1^2+1.3^2)^0.5</t>
  </si>
  <si>
    <t>(1^2+1.3^2)^0.5</t>
    <phoneticPr fontId="2" type="noConversion"/>
  </si>
  <si>
    <t>103.500</t>
    <phoneticPr fontId="2" type="noConversion"/>
  </si>
  <si>
    <t>103.500</t>
    <phoneticPr fontId="2" type="noConversion"/>
  </si>
  <si>
    <t>103.000</t>
    <phoneticPr fontId="2" type="noConversion"/>
  </si>
  <si>
    <t>42-6+3.2+18-0.0875*(2*9+1)+0.0875*(2*9+1)</t>
    <phoneticPr fontId="2" type="noConversion"/>
  </si>
  <si>
    <t>梁梁连接板</t>
    <phoneticPr fontId="2" type="noConversion"/>
  </si>
  <si>
    <t>PL84×328×5</t>
    <phoneticPr fontId="2" type="noConversion"/>
  </si>
  <si>
    <t>2*18+3</t>
    <phoneticPr fontId="2" type="noConversion"/>
  </si>
  <si>
    <t>1.4-0.0875-0.05</t>
    <phoneticPr fontId="2" type="noConversion"/>
  </si>
  <si>
    <t>PL84×328×5</t>
    <phoneticPr fontId="2" type="noConversion"/>
  </si>
  <si>
    <t>B23</t>
    <phoneticPr fontId="2" type="noConversion"/>
  </si>
  <si>
    <t>H200×100×5.5×8</t>
    <phoneticPr fontId="2" type="noConversion"/>
  </si>
  <si>
    <t>(3.05-0.0625-0.1)+(3.05-0.05-0.1)</t>
    <phoneticPr fontId="2" type="noConversion"/>
  </si>
  <si>
    <t>PL96×374×5.5</t>
    <phoneticPr fontId="2" type="noConversion"/>
  </si>
  <si>
    <t>PL59×232×5.5</t>
    <phoneticPr fontId="2" type="noConversion"/>
  </si>
  <si>
    <t>PL47×184×5.5</t>
    <phoneticPr fontId="2" type="noConversion"/>
  </si>
  <si>
    <t>B23</t>
    <phoneticPr fontId="2" type="noConversion"/>
  </si>
  <si>
    <t>3-0.0875*2</t>
    <phoneticPr fontId="2" type="noConversion"/>
  </si>
  <si>
    <t>PL84×328×5.5</t>
    <phoneticPr fontId="2" type="noConversion"/>
  </si>
  <si>
    <t>(2.8-0.0875*2)+(3-0.0875*2)*3</t>
    <phoneticPr fontId="2" type="noConversion"/>
  </si>
  <si>
    <t>梁梁连接板</t>
    <phoneticPr fontId="2" type="noConversion"/>
  </si>
  <si>
    <t>PL84×328×6</t>
    <phoneticPr fontId="2" type="noConversion"/>
  </si>
  <si>
    <t>2*4+1</t>
    <phoneticPr fontId="2" type="noConversion"/>
  </si>
  <si>
    <t>H350×175×7×11</t>
    <phoneticPr fontId="2" type="noConversion"/>
  </si>
  <si>
    <t>RG26</t>
    <phoneticPr fontId="2" type="noConversion"/>
  </si>
  <si>
    <t>(6-0.0875*2)*4+(6-0.1*2)*7+(6-0.1-0.125)*2</t>
    <phoneticPr fontId="2" type="noConversion"/>
  </si>
  <si>
    <t>103.000</t>
    <phoneticPr fontId="2" type="noConversion"/>
  </si>
  <si>
    <t>H244×175×7×11</t>
    <phoneticPr fontId="2" type="noConversion"/>
  </si>
  <si>
    <t>H350×175×7×11</t>
    <phoneticPr fontId="2" type="noConversion"/>
  </si>
  <si>
    <t>H350×175×7×11</t>
    <phoneticPr fontId="2" type="noConversion"/>
  </si>
  <si>
    <t>(6-0.0875-0.1)*2+(6-0.0875*2)*10</t>
    <phoneticPr fontId="2" type="noConversion"/>
  </si>
  <si>
    <t>梁梁连接板</t>
    <phoneticPr fontId="2" type="noConversion"/>
  </si>
  <si>
    <t>PL84×328×7</t>
    <phoneticPr fontId="2" type="noConversion"/>
  </si>
  <si>
    <t>4*10+2*2</t>
    <phoneticPr fontId="2" type="noConversion"/>
  </si>
  <si>
    <t>G27</t>
    <phoneticPr fontId="2" type="noConversion"/>
  </si>
  <si>
    <t>H400×200×8×13</t>
    <phoneticPr fontId="2" type="noConversion"/>
  </si>
  <si>
    <t>高度待定</t>
    <phoneticPr fontId="2" type="noConversion"/>
  </si>
  <si>
    <t>H133</t>
    <phoneticPr fontId="2" type="noConversion"/>
  </si>
  <si>
    <t>(2.95^2+3^2)^0.5</t>
    <phoneticPr fontId="2" type="noConversion"/>
  </si>
  <si>
    <t>(3.05^2+3^2)^0.5</t>
    <phoneticPr fontId="2" type="noConversion"/>
  </si>
  <si>
    <t>28、29/1轴立面布置图</t>
  </si>
  <si>
    <t>RG13</t>
    <phoneticPr fontId="2" type="noConversion"/>
  </si>
  <si>
    <t>(3^2+3^2)^0.5*1.7/3</t>
    <phoneticPr fontId="2" type="noConversion"/>
  </si>
  <si>
    <t>30/1轴立面布置图</t>
  </si>
  <si>
    <t>AE、AF、AG轴立面布置图</t>
  </si>
  <si>
    <t>(1^2+1^2)^0.5</t>
    <phoneticPr fontId="2" type="noConversion"/>
  </si>
  <si>
    <t>柱脚平面布置图</t>
  </si>
  <si>
    <t>汇总</t>
    <phoneticPr fontId="2" type="noConversion"/>
  </si>
  <si>
    <t>管架选型一览表</t>
    <phoneticPr fontId="2" type="noConversion"/>
  </si>
  <si>
    <t>钢柱</t>
  </si>
  <si>
    <t>钢柱</t>
    <phoneticPr fontId="2" type="noConversion"/>
  </si>
  <si>
    <t>柱脚</t>
    <phoneticPr fontId="2" type="noConversion"/>
  </si>
  <si>
    <t>PL530×530×36</t>
    <phoneticPr fontId="2" type="noConversion"/>
  </si>
  <si>
    <t>6.592</t>
    <phoneticPr fontId="2" type="noConversion"/>
  </si>
  <si>
    <t>(9.552-6.592-0.036)*2*22+(14.35-6.592-0.036)*2*2+(10.402-6.592-0.036)*2</t>
    <phoneticPr fontId="2" type="noConversion"/>
  </si>
  <si>
    <t>1*2*25</t>
    <phoneticPr fontId="2" type="noConversion"/>
  </si>
  <si>
    <t>9.552</t>
    <phoneticPr fontId="2" type="noConversion"/>
  </si>
  <si>
    <t>钢梁</t>
  </si>
  <si>
    <t>钢梁</t>
    <phoneticPr fontId="2" type="noConversion"/>
  </si>
  <si>
    <t>I20a</t>
    <phoneticPr fontId="2" type="noConversion"/>
  </si>
  <si>
    <t>10.402</t>
    <phoneticPr fontId="2" type="noConversion"/>
  </si>
  <si>
    <t>(7-0.125*2)+(10-0.125*2)*24</t>
    <phoneticPr fontId="2" type="noConversion"/>
  </si>
  <si>
    <t>(0.9-0.125)*22+(1-0.125)*3</t>
    <phoneticPr fontId="2" type="noConversion"/>
  </si>
  <si>
    <t>10-0.125*2</t>
    <phoneticPr fontId="2" type="noConversion"/>
  </si>
  <si>
    <t>A、B轴构件布置图</t>
    <phoneticPr fontId="2" type="noConversion"/>
  </si>
  <si>
    <t>柱间支撑</t>
    <phoneticPr fontId="2" type="noConversion"/>
  </si>
  <si>
    <t>H150×150×7×10</t>
    <phoneticPr fontId="2" type="noConversion"/>
  </si>
  <si>
    <t>(2.9^2+(9.552-6.552-0.04)^2)^0.5</t>
    <phoneticPr fontId="2" type="noConversion"/>
  </si>
  <si>
    <t>9.552层结构布置图</t>
    <phoneticPr fontId="2" type="noConversion"/>
  </si>
  <si>
    <t>7.550层结构布置图 B-003</t>
    <phoneticPr fontId="2" type="noConversion"/>
  </si>
  <si>
    <t>7.85-6.495</t>
  </si>
  <si>
    <t>7.85-6.495</t>
    <phoneticPr fontId="2" type="noConversion"/>
  </si>
  <si>
    <t>梁梁连接板</t>
    <phoneticPr fontId="2" type="noConversion"/>
  </si>
  <si>
    <t>PL84×222×7</t>
  </si>
  <si>
    <t>PL84×222×7</t>
    <phoneticPr fontId="2" type="noConversion"/>
  </si>
  <si>
    <t>(10-0.0875*2)+(10-0.125*2)</t>
  </si>
  <si>
    <t>(10-0.0875*2)+(10-0.125*2)</t>
    <phoneticPr fontId="2" type="noConversion"/>
  </si>
  <si>
    <t>柱方向待定</t>
  </si>
  <si>
    <t>柱方向待定</t>
    <phoneticPr fontId="2" type="noConversion"/>
  </si>
  <si>
    <t>(0.7-0.0875)+(0.7-0.125)</t>
  </si>
  <si>
    <t>(0.7-0.0875)+(0.7-0.125)</t>
    <phoneticPr fontId="2" type="noConversion"/>
  </si>
  <si>
    <t>1.4-0.05*2</t>
  </si>
  <si>
    <t>1.4-0.05*2</t>
    <phoneticPr fontId="2" type="noConversion"/>
  </si>
  <si>
    <t>[18a</t>
  </si>
  <si>
    <t>[18a</t>
    <phoneticPr fontId="2" type="noConversion"/>
  </si>
  <si>
    <t>5+(5-0.125)</t>
  </si>
  <si>
    <t>5+(5-0.125)</t>
    <phoneticPr fontId="2" type="noConversion"/>
  </si>
  <si>
    <t>7.550层结构布置图 B-004</t>
    <phoneticPr fontId="2" type="noConversion"/>
  </si>
  <si>
    <t>I14</t>
    <phoneticPr fontId="2" type="noConversion"/>
  </si>
  <si>
    <t>I16</t>
    <phoneticPr fontId="2" type="noConversion"/>
  </si>
  <si>
    <t>7.550层结构布置图 B-005</t>
    <phoneticPr fontId="2" type="noConversion"/>
  </si>
  <si>
    <t>(10-0.125*2)+(10-0.0625*2)</t>
    <phoneticPr fontId="2" type="noConversion"/>
  </si>
  <si>
    <t>PL59×232×6</t>
    <phoneticPr fontId="2" type="noConversion"/>
  </si>
  <si>
    <t>2*2</t>
    <phoneticPr fontId="2" type="noConversion"/>
  </si>
  <si>
    <t>7.850层结构布置图 B-002</t>
    <phoneticPr fontId="2" type="noConversion"/>
  </si>
  <si>
    <t>7.85-6.45-0.25-0.02</t>
    <phoneticPr fontId="2" type="noConversion"/>
  </si>
  <si>
    <t>PL350×350×20</t>
    <phoneticPr fontId="2" type="noConversion"/>
  </si>
  <si>
    <t>8*2*25</t>
    <phoneticPr fontId="2" type="noConversion"/>
  </si>
  <si>
    <t>H100×100×6×8</t>
    <phoneticPr fontId="2" type="noConversion"/>
  </si>
  <si>
    <t>7.85-0.25-7.55</t>
    <phoneticPr fontId="2" type="noConversion"/>
  </si>
  <si>
    <t>PL59×232×6</t>
    <phoneticPr fontId="2" type="noConversion"/>
  </si>
  <si>
    <t>(6.8-0.0625*2)+(6.7-0.0625*2)+(6.65-0.0625*2)+(6.55-0.0625*2)</t>
    <phoneticPr fontId="2" type="noConversion"/>
  </si>
  <si>
    <t>2*4</t>
    <phoneticPr fontId="2" type="noConversion"/>
  </si>
  <si>
    <t>[18a</t>
    <phoneticPr fontId="2" type="noConversion"/>
  </si>
  <si>
    <t>(13.6+40.15+33.2)*2-6.8-6.7-6.65-6.55</t>
    <phoneticPr fontId="2" type="noConversion"/>
  </si>
  <si>
    <t>2.65+3+3.5+5.7+3+5.8+2.8+6+2.9+4.4+3.9+6+2.6+6+4.05+4.65+3.95+4.8+4.5+4.8+4.8+4</t>
    <phoneticPr fontId="2" type="noConversion"/>
  </si>
  <si>
    <t>5.7+5.8+6+6+6+4.65+4.8+4.5+4.8+4.8</t>
    <phoneticPr fontId="2" type="noConversion"/>
  </si>
  <si>
    <t>I18</t>
    <phoneticPr fontId="2" type="noConversion"/>
  </si>
  <si>
    <t>5.7*2+5.8*2+6*2+4.4*3+3.9+6*2+6*2+4.05+4.65*2+3.95+4.8*2+4.5*2+4.8*2+4.8*2+4</t>
    <phoneticPr fontId="2" type="noConversion"/>
  </si>
  <si>
    <t>3.9*2+4.05*2+3.95*2+4*2</t>
    <phoneticPr fontId="2" type="noConversion"/>
  </si>
  <si>
    <t>I14</t>
    <phoneticPr fontId="2" type="noConversion"/>
  </si>
  <si>
    <t>2.65*3+3*3+3.5*3+3*3+2.8*3+2.9*3+2.6*3</t>
    <phoneticPr fontId="2" type="noConversion"/>
  </si>
  <si>
    <t>0.9*15+0.75*15</t>
    <phoneticPr fontId="2" type="noConversion"/>
  </si>
  <si>
    <t>9.552层结构布置图</t>
    <phoneticPr fontId="2" type="noConversion"/>
  </si>
  <si>
    <t>I10</t>
    <phoneticPr fontId="2" type="noConversion"/>
  </si>
  <si>
    <t>0.75-0.07</t>
    <phoneticPr fontId="2" type="noConversion"/>
  </si>
  <si>
    <t>7.550</t>
    <phoneticPr fontId="2" type="noConversion"/>
  </si>
  <si>
    <t>7.850</t>
    <phoneticPr fontId="2" type="noConversion"/>
  </si>
  <si>
    <t>10.952</t>
    <phoneticPr fontId="2" type="noConversion"/>
  </si>
  <si>
    <t>GJ-1详图</t>
    <phoneticPr fontId="2" type="noConversion"/>
  </si>
  <si>
    <t>框架柱</t>
    <phoneticPr fontId="2" type="noConversion"/>
  </si>
  <si>
    <t>17.35-6.45-0.036</t>
    <phoneticPr fontId="2" type="noConversion"/>
  </si>
  <si>
    <t>PL580×580×36</t>
    <phoneticPr fontId="2" type="noConversion"/>
  </si>
  <si>
    <t>PL250×140×10-PLT200×110×10</t>
    <phoneticPr fontId="2" type="noConversion"/>
  </si>
  <si>
    <t>PL200×100×10-PLT150×70×10</t>
    <phoneticPr fontId="2" type="noConversion"/>
  </si>
  <si>
    <t>PL300×140×12-PLT250×110×12</t>
    <phoneticPr fontId="2" type="noConversion"/>
  </si>
  <si>
    <t>PL268×144×10</t>
    <phoneticPr fontId="2" type="noConversion"/>
  </si>
  <si>
    <t>牛腿</t>
    <phoneticPr fontId="2" type="noConversion"/>
  </si>
  <si>
    <t>PL650×350×30</t>
    <phoneticPr fontId="2" type="noConversion"/>
  </si>
  <si>
    <t>PL716×350×15</t>
    <phoneticPr fontId="2" type="noConversion"/>
  </si>
  <si>
    <t>PL285～585×650×10</t>
    <phoneticPr fontId="2" type="noConversion"/>
  </si>
  <si>
    <t>PL600×170×10</t>
    <phoneticPr fontId="2" type="noConversion"/>
  </si>
  <si>
    <t>框架梁</t>
    <phoneticPr fontId="2" type="noConversion"/>
  </si>
  <si>
    <t>(4.5-0.15)*(10^2+100^2)^0.5/100</t>
    <phoneticPr fontId="2" type="noConversion"/>
  </si>
  <si>
    <t>柱梁腋板</t>
    <phoneticPr fontId="2" type="noConversion"/>
  </si>
  <si>
    <t>梁拼接节点</t>
    <phoneticPr fontId="2" type="noConversion"/>
  </si>
  <si>
    <t>屋面结构布置图</t>
    <phoneticPr fontId="2" type="noConversion"/>
  </si>
  <si>
    <t>系杆</t>
    <phoneticPr fontId="2" type="noConversion"/>
  </si>
  <si>
    <t>D127×6</t>
    <phoneticPr fontId="2" type="noConversion"/>
  </si>
  <si>
    <t>屋面水平支撑</t>
    <phoneticPr fontId="2" type="noConversion"/>
  </si>
  <si>
    <t>D114×6</t>
    <phoneticPr fontId="2" type="noConversion"/>
  </si>
  <si>
    <t>(4.5^2+6^2)^0.5</t>
    <phoneticPr fontId="2" type="noConversion"/>
  </si>
  <si>
    <t>檩条</t>
    <phoneticPr fontId="2" type="noConversion"/>
  </si>
  <si>
    <t>[16a</t>
    <phoneticPr fontId="2" type="noConversion"/>
  </si>
  <si>
    <t>拉条</t>
    <phoneticPr fontId="2" type="noConversion"/>
  </si>
  <si>
    <t>D12</t>
    <phoneticPr fontId="2" type="noConversion"/>
  </si>
  <si>
    <t>9-1.05*2</t>
    <phoneticPr fontId="2" type="noConversion"/>
  </si>
  <si>
    <t>撑杆</t>
    <phoneticPr fontId="2" type="noConversion"/>
  </si>
  <si>
    <t>D33.7×3</t>
    <phoneticPr fontId="2" type="noConversion"/>
  </si>
  <si>
    <t>斜拉条</t>
    <phoneticPr fontId="2" type="noConversion"/>
  </si>
  <si>
    <t>(1.05^2+3^2)^0.5</t>
    <phoneticPr fontId="2" type="noConversion"/>
  </si>
  <si>
    <t>吊车梁结构布置图</t>
    <phoneticPr fontId="2" type="noConversion"/>
  </si>
  <si>
    <t>吊车梁</t>
    <phoneticPr fontId="2" type="noConversion"/>
  </si>
  <si>
    <t>H340×250×9×14</t>
    <phoneticPr fontId="2" type="noConversion"/>
  </si>
  <si>
    <t>PL201×518×12</t>
    <phoneticPr fontId="2" type="noConversion"/>
  </si>
  <si>
    <t>PL90×260×6</t>
    <phoneticPr fontId="2" type="noConversion"/>
  </si>
  <si>
    <t>连接板</t>
    <phoneticPr fontId="2" type="noConversion"/>
  </si>
  <si>
    <t>PL300×100×14</t>
    <phoneticPr fontId="2" type="noConversion"/>
  </si>
  <si>
    <t>车挡</t>
    <phoneticPr fontId="2" type="noConversion"/>
  </si>
  <si>
    <t>PL420×1000×8</t>
    <phoneticPr fontId="2" type="noConversion"/>
  </si>
  <si>
    <t>PL280×460×12-2PLT40×60×12</t>
    <phoneticPr fontId="2" type="noConversion"/>
  </si>
  <si>
    <t>PL200×540×12</t>
    <phoneticPr fontId="2" type="noConversion"/>
  </si>
  <si>
    <t>PL200×1000×12</t>
    <phoneticPr fontId="2" type="noConversion"/>
  </si>
  <si>
    <t>PL136×420×12</t>
    <phoneticPr fontId="2" type="noConversion"/>
  </si>
  <si>
    <t>PL80×420×6</t>
    <phoneticPr fontId="2" type="noConversion"/>
  </si>
  <si>
    <t>H194×150×6×9</t>
  </si>
  <si>
    <t>(3^2+4.833^2)^0.5</t>
    <phoneticPr fontId="2" type="noConversion"/>
  </si>
  <si>
    <t>(3^2+1.567^2)^0.5</t>
    <phoneticPr fontId="2" type="noConversion"/>
  </si>
  <si>
    <t>6.450</t>
    <phoneticPr fontId="2" type="noConversion"/>
  </si>
  <si>
    <t>15.783</t>
    <phoneticPr fontId="2" type="noConversion"/>
  </si>
  <si>
    <t>15.783</t>
    <phoneticPr fontId="2" type="noConversion"/>
  </si>
  <si>
    <t>17.350</t>
    <phoneticPr fontId="2" type="noConversion"/>
  </si>
  <si>
    <t>10.950</t>
    <phoneticPr fontId="2" type="noConversion"/>
  </si>
  <si>
    <t>7.600层结构布置图</t>
    <phoneticPr fontId="2" type="noConversion"/>
  </si>
  <si>
    <t>？？？</t>
  </si>
  <si>
    <t>6.450？？？</t>
    <phoneticPr fontId="2" type="noConversion"/>
  </si>
  <si>
    <t>7.6-6.45-0.2</t>
    <phoneticPr fontId="2" type="noConversion"/>
  </si>
  <si>
    <t>7.600</t>
    <phoneticPr fontId="2" type="noConversion"/>
  </si>
  <si>
    <t>H200×100×5.5×8</t>
    <phoneticPr fontId="2" type="noConversion"/>
  </si>
  <si>
    <t>[20a</t>
    <phoneticPr fontId="2" type="noConversion"/>
  </si>
  <si>
    <t>4.8*2+6*16+5*2</t>
    <phoneticPr fontId="2" type="noConversion"/>
  </si>
  <si>
    <t>I16</t>
    <phoneticPr fontId="2" type="noConversion"/>
  </si>
  <si>
    <t>9.555</t>
    <phoneticPr fontId="2" type="noConversion"/>
  </si>
  <si>
    <t>9.555层结构布置图</t>
    <phoneticPr fontId="2" type="noConversion"/>
  </si>
  <si>
    <t>I20a</t>
    <phoneticPr fontId="2" type="noConversion"/>
  </si>
  <si>
    <t>1-0.15</t>
    <phoneticPr fontId="2" type="noConversion"/>
  </si>
  <si>
    <t>[16a</t>
    <phoneticPr fontId="2" type="noConversion"/>
  </si>
  <si>
    <t>[14a</t>
    <phoneticPr fontId="2" type="noConversion"/>
  </si>
  <si>
    <t>汇总</t>
    <phoneticPr fontId="2" type="noConversion"/>
  </si>
  <si>
    <t>H200×200×8×12</t>
    <phoneticPr fontId="2" type="noConversion"/>
  </si>
  <si>
    <t>P-Q轴管廊102.850平面布置图</t>
    <phoneticPr fontId="2" type="noConversion"/>
  </si>
  <si>
    <t>2.6-0.1-0.17</t>
    <phoneticPr fontId="2" type="noConversion"/>
  </si>
  <si>
    <t>F-Q轴管廊105.500平面布置图</t>
    <phoneticPr fontId="2" type="noConversion"/>
  </si>
  <si>
    <t>F-Q轴管廊钢结构柱脚平面布置图</t>
    <phoneticPr fontId="2" type="noConversion"/>
  </si>
  <si>
    <t>F-Q轴管廊钢结构柱脚平面布置图</t>
    <phoneticPr fontId="2" type="noConversion"/>
  </si>
  <si>
    <t>5*4+6*9</t>
    <phoneticPr fontId="2" type="noConversion"/>
  </si>
  <si>
    <t>(7-0.17*2)*5+(2.6-0.17-0.1)*2</t>
    <phoneticPr fontId="2" type="noConversion"/>
  </si>
  <si>
    <t>7-0.1*2</t>
    <phoneticPr fontId="2" type="noConversion"/>
  </si>
  <si>
    <t>PL96×270×8</t>
    <phoneticPr fontId="2" type="noConversion"/>
  </si>
  <si>
    <t>4*6</t>
    <phoneticPr fontId="2" type="noConversion"/>
  </si>
  <si>
    <t>B22</t>
  </si>
  <si>
    <t>H150×75×5×7</t>
  </si>
  <si>
    <t>(5*2+6*5-0.1*4-0.1*2*5)+(2.5-0.1*2)*2+(1.2-0.0625-0.1)*2</t>
    <phoneticPr fontId="2" type="noConversion"/>
  </si>
  <si>
    <t>100.200</t>
    <phoneticPr fontId="2" type="noConversion"/>
  </si>
  <si>
    <t>100.200</t>
    <phoneticPr fontId="2" type="noConversion"/>
  </si>
  <si>
    <t>100.200</t>
    <phoneticPr fontId="2" type="noConversion"/>
  </si>
  <si>
    <t>102.850</t>
    <phoneticPr fontId="2" type="noConversion"/>
  </si>
  <si>
    <t>105.500</t>
    <phoneticPr fontId="2" type="noConversion"/>
  </si>
  <si>
    <t>PL96×374×5</t>
    <phoneticPr fontId="2" type="noConversion"/>
  </si>
  <si>
    <t>2*9-2</t>
    <phoneticPr fontId="2" type="noConversion"/>
  </si>
  <si>
    <t>PL59×232×5</t>
    <phoneticPr fontId="2" type="noConversion"/>
  </si>
  <si>
    <t>PL96×270×5</t>
    <phoneticPr fontId="2" type="noConversion"/>
  </si>
  <si>
    <t>(2.35-0.1*2)*4+(2.3-0.1*2)*2+(3-0.1*2)*2+(1.4-0.1-0.0625)</t>
    <phoneticPr fontId="2" type="noConversion"/>
  </si>
  <si>
    <t>2*12-2</t>
    <phoneticPr fontId="2" type="noConversion"/>
  </si>
  <si>
    <t>PL96×270×5.5</t>
    <phoneticPr fontId="2" type="noConversion"/>
  </si>
  <si>
    <t>1.2-0.17</t>
    <phoneticPr fontId="2" type="noConversion"/>
  </si>
  <si>
    <t>(6-0.0625*2)+(6-0.1*2)</t>
    <phoneticPr fontId="2" type="noConversion"/>
  </si>
  <si>
    <t>9*2+6*4</t>
    <phoneticPr fontId="2" type="noConversion"/>
  </si>
  <si>
    <t>(7-0.17*2)*5</t>
    <phoneticPr fontId="2" type="noConversion"/>
  </si>
  <si>
    <t>(9-0.1*2)*2+(7-0.1*2)</t>
    <phoneticPr fontId="2" type="noConversion"/>
  </si>
  <si>
    <t>PL96×374×8</t>
    <phoneticPr fontId="2" type="noConversion"/>
  </si>
  <si>
    <t>(1.5^2+1.2^2)^0.5</t>
    <phoneticPr fontId="2" type="noConversion"/>
  </si>
  <si>
    <t>(1.5^2+1.4^2)^0.5</t>
    <phoneticPr fontId="2" type="noConversion"/>
  </si>
  <si>
    <t>(3^2+2.35^2)^0.5</t>
    <phoneticPr fontId="2" type="noConversion"/>
  </si>
  <si>
    <t>(3^2+2.3^2)^0.5</t>
    <phoneticPr fontId="2" type="noConversion"/>
  </si>
  <si>
    <t>(2.5^2+3.5^2)^0.5</t>
    <phoneticPr fontId="2" type="noConversion"/>
  </si>
  <si>
    <t>(3^2+3.5^2)^0.5</t>
    <phoneticPr fontId="2" type="noConversion"/>
  </si>
  <si>
    <t>(3.5^2+2.3^2)^0.5</t>
    <phoneticPr fontId="2" type="noConversion"/>
  </si>
  <si>
    <t>(2.5^2+2.3^2)^0.5</t>
    <phoneticPr fontId="2" type="noConversion"/>
  </si>
  <si>
    <t>(2.5^2+2.4^2)^0.5</t>
    <phoneticPr fontId="2" type="noConversion"/>
  </si>
  <si>
    <t>F-Q轴管廊 1轴立面布置图</t>
    <phoneticPr fontId="2" type="noConversion"/>
  </si>
  <si>
    <t>H200×200×8×12</t>
    <phoneticPr fontId="2" type="noConversion"/>
  </si>
  <si>
    <t>(5^2+5.3^2)^0.5</t>
    <phoneticPr fontId="2" type="noConversion"/>
  </si>
  <si>
    <t>(6^2+5.3^2)^0.5</t>
    <phoneticPr fontId="2" type="noConversion"/>
  </si>
  <si>
    <t>F-Q轴管廊 2轴立面布置图</t>
    <phoneticPr fontId="2" type="noConversion"/>
  </si>
  <si>
    <t>1/2轴立面布置图</t>
    <phoneticPr fontId="2" type="noConversion"/>
  </si>
  <si>
    <t>P、Q轴立面布置图</t>
    <phoneticPr fontId="2" type="noConversion"/>
  </si>
  <si>
    <t>(1.2^2+1.2^2)^0.5</t>
    <phoneticPr fontId="2" type="noConversion"/>
  </si>
  <si>
    <t>3-8轴管廊钢结构柱脚平面布置图</t>
    <phoneticPr fontId="2" type="noConversion"/>
  </si>
  <si>
    <t>3-8轴管廊107.000平面布置图</t>
    <phoneticPr fontId="2" type="noConversion"/>
  </si>
  <si>
    <t>107.000</t>
    <phoneticPr fontId="2" type="noConversion"/>
  </si>
  <si>
    <t>H200×100×5.5×8</t>
    <phoneticPr fontId="2" type="noConversion"/>
  </si>
  <si>
    <t>1.2-0.1-0.0625</t>
    <phoneticPr fontId="2" type="noConversion"/>
  </si>
  <si>
    <t>PL59×232×5.5</t>
    <phoneticPr fontId="2" type="noConversion"/>
  </si>
  <si>
    <t>1.3-0.17</t>
    <phoneticPr fontId="2" type="noConversion"/>
  </si>
  <si>
    <t>8*5</t>
    <phoneticPr fontId="2" type="noConversion"/>
  </si>
  <si>
    <t>H300×150×6.5×9</t>
    <phoneticPr fontId="2" type="noConversion"/>
  </si>
  <si>
    <t>(6-0.0625*2)+(3-0.075*2)*13+(3-0.075-0.1)*2</t>
    <phoneticPr fontId="2" type="noConversion"/>
  </si>
  <si>
    <t>2*2-1</t>
    <phoneticPr fontId="2" type="noConversion"/>
  </si>
  <si>
    <t>6-0.1*2</t>
    <phoneticPr fontId="2" type="noConversion"/>
  </si>
  <si>
    <t>9-0.17*2</t>
    <phoneticPr fontId="2" type="noConversion"/>
  </si>
  <si>
    <t>3-8轴管廊 F轴立面布置图</t>
    <phoneticPr fontId="2" type="noConversion"/>
  </si>
  <si>
    <t>3-8轴管廊 G轴立面布置图</t>
    <phoneticPr fontId="2" type="noConversion"/>
  </si>
  <si>
    <t>5、6轴管廊立面布置图</t>
    <phoneticPr fontId="2" type="noConversion"/>
  </si>
  <si>
    <t>(1.2^2+1.2^2)^0.5</t>
    <phoneticPr fontId="2" type="noConversion"/>
  </si>
  <si>
    <t>27-38轴管廊钢结构柱脚平面布置图</t>
    <phoneticPr fontId="2" type="noConversion"/>
  </si>
  <si>
    <t>27-38轴管廊105.000平面布置图</t>
    <phoneticPr fontId="2" type="noConversion"/>
  </si>
  <si>
    <t>H150×75×5×7</t>
    <phoneticPr fontId="2" type="noConversion"/>
  </si>
  <si>
    <t>30-0.075*14-0.0875*6</t>
    <phoneticPr fontId="2" type="noConversion"/>
  </si>
  <si>
    <t>2*8</t>
    <phoneticPr fontId="2" type="noConversion"/>
  </si>
  <si>
    <t>PL84×328×5</t>
    <phoneticPr fontId="2" type="noConversion"/>
  </si>
  <si>
    <t>5-0.075*2</t>
  </si>
  <si>
    <t>5-0.075*2</t>
    <phoneticPr fontId="2" type="noConversion"/>
  </si>
  <si>
    <t>5-0.1*2</t>
    <phoneticPr fontId="2" type="noConversion"/>
  </si>
  <si>
    <t>H350×175×7×11</t>
    <phoneticPr fontId="2" type="noConversion"/>
  </si>
  <si>
    <t>5-0.0875*2</t>
    <phoneticPr fontId="2" type="noConversion"/>
  </si>
  <si>
    <t>PL84×328×7</t>
    <phoneticPr fontId="2" type="noConversion"/>
  </si>
  <si>
    <t>5-0.1*2</t>
    <phoneticPr fontId="2" type="noConversion"/>
  </si>
  <si>
    <t>(3^2+2.5^2)^0.5</t>
    <phoneticPr fontId="2" type="noConversion"/>
  </si>
  <si>
    <t>105.000</t>
    <phoneticPr fontId="2" type="noConversion"/>
  </si>
  <si>
    <t>106.500</t>
    <phoneticPr fontId="2" type="noConversion"/>
  </si>
  <si>
    <t>27-38轴管廊106.500平面布置图</t>
  </si>
  <si>
    <t>27-38轴管廊106.500平面布置图</t>
    <phoneticPr fontId="2" type="noConversion"/>
  </si>
  <si>
    <t>RG12</t>
  </si>
  <si>
    <t>B12</t>
  </si>
  <si>
    <t>PL72×176×6</t>
  </si>
  <si>
    <t>4*2</t>
  </si>
  <si>
    <t>0.55-0.075*2</t>
  </si>
  <si>
    <t>0.55-0.075*2</t>
    <phoneticPr fontId="2" type="noConversion"/>
  </si>
  <si>
    <t>PL72×176×5</t>
  </si>
  <si>
    <t>L63×8</t>
    <phoneticPr fontId="2" type="noConversion"/>
  </si>
  <si>
    <t>(1^2+1^2)^0.5</t>
  </si>
  <si>
    <t>103.500</t>
    <phoneticPr fontId="2" type="noConversion"/>
  </si>
  <si>
    <t>1.68*2+4*2</t>
    <phoneticPr fontId="2" type="noConversion"/>
  </si>
  <si>
    <t>Q235-B</t>
    <phoneticPr fontId="2" type="noConversion"/>
  </si>
  <si>
    <t>m</t>
    <phoneticPr fontId="2" type="noConversion"/>
  </si>
  <si>
    <t>Q235-B</t>
    <phoneticPr fontId="2" type="noConversion"/>
  </si>
  <si>
    <t>H型钢</t>
    <phoneticPr fontId="2" type="noConversion"/>
  </si>
  <si>
    <t>圆管</t>
    <phoneticPr fontId="2" type="noConversion"/>
  </si>
  <si>
    <t>H型钢</t>
    <phoneticPr fontId="2" type="noConversion"/>
  </si>
  <si>
    <t>板件</t>
    <phoneticPr fontId="2" type="noConversion"/>
  </si>
  <si>
    <t>T型钢</t>
    <phoneticPr fontId="2" type="noConversion"/>
  </si>
  <si>
    <t>T型钢</t>
    <phoneticPr fontId="2" type="noConversion"/>
  </si>
  <si>
    <t>H型钢</t>
    <phoneticPr fontId="2" type="noConversion"/>
  </si>
  <si>
    <t>H型钢</t>
    <phoneticPr fontId="2" type="noConversion"/>
  </si>
  <si>
    <t>H型钢</t>
    <phoneticPr fontId="2" type="noConversion"/>
  </si>
  <si>
    <t>H型钢</t>
    <phoneticPr fontId="2" type="noConversion"/>
  </si>
  <si>
    <t>H型钢</t>
    <phoneticPr fontId="2" type="noConversion"/>
  </si>
  <si>
    <t>H型钢</t>
    <phoneticPr fontId="2" type="noConversion"/>
  </si>
  <si>
    <t>槽钢</t>
    <phoneticPr fontId="2" type="noConversion"/>
  </si>
  <si>
    <t>角钢</t>
    <phoneticPr fontId="2" type="noConversion"/>
  </si>
  <si>
    <t>H型钢</t>
    <phoneticPr fontId="2" type="noConversion"/>
  </si>
  <si>
    <t>槽钢</t>
    <phoneticPr fontId="2" type="noConversion"/>
  </si>
  <si>
    <t>H型钢</t>
    <phoneticPr fontId="2" type="noConversion"/>
  </si>
  <si>
    <t>工字钢</t>
    <phoneticPr fontId="2" type="noConversion"/>
  </si>
  <si>
    <t>圆钢</t>
    <phoneticPr fontId="2" type="noConversion"/>
  </si>
  <si>
    <t>H型钢</t>
    <phoneticPr fontId="2" type="noConversion"/>
  </si>
  <si>
    <t>板件</t>
    <phoneticPr fontId="2" type="noConversion"/>
  </si>
  <si>
    <t>6*4-0.075*2*8</t>
    <phoneticPr fontId="2" type="noConversion"/>
  </si>
  <si>
    <t>2*10-3</t>
    <phoneticPr fontId="2" type="noConversion"/>
  </si>
  <si>
    <t>6+4-0.075*2*4</t>
    <phoneticPr fontId="2" type="noConversion"/>
  </si>
  <si>
    <t>PL71×282×5.5</t>
    <phoneticPr fontId="2" type="noConversion"/>
  </si>
  <si>
    <t>6*10+4*2</t>
    <phoneticPr fontId="2" type="noConversion"/>
  </si>
  <si>
    <t>(3^2+2.5^2)^0.5</t>
    <phoneticPr fontId="2" type="noConversion"/>
  </si>
  <si>
    <t>(2^2+2.5^2)^0.5</t>
    <phoneticPr fontId="2" type="noConversion"/>
  </si>
  <si>
    <t>27-38轴管廊 F/1轴立面布置图</t>
    <phoneticPr fontId="2" type="noConversion"/>
  </si>
  <si>
    <t>P22</t>
  </si>
  <si>
    <t>？？？H150×75×5×7</t>
  </si>
  <si>
    <t>？？？H150×75×5×7</t>
    <phoneticPr fontId="2" type="noConversion"/>
  </si>
  <si>
    <t>105.5-101.5</t>
  </si>
  <si>
    <t>105.5-101.5</t>
    <phoneticPr fontId="2" type="noConversion"/>
  </si>
  <si>
    <t>V98</t>
  </si>
  <si>
    <t>L80×8</t>
  </si>
  <si>
    <t>L80×8</t>
    <phoneticPr fontId="2" type="noConversion"/>
  </si>
  <si>
    <t>(1.55^2+1.3^2)^0.5</t>
  </si>
  <si>
    <t>(1.55^2+1.3^2)^0.5</t>
    <phoneticPr fontId="2" type="noConversion"/>
  </si>
  <si>
    <t>V4</t>
  </si>
  <si>
    <t>(6^2+4.8^2)^0.5</t>
  </si>
  <si>
    <t>(6^2+4.8^2)^0.5</t>
    <phoneticPr fontId="2" type="noConversion"/>
  </si>
  <si>
    <t>(6^2+6.3^2)^0.5</t>
  </si>
  <si>
    <t>(6^2+6.3^2)^0.5</t>
    <phoneticPr fontId="2" type="noConversion"/>
  </si>
  <si>
    <t>27-38轴管廊 G/1轴立面布置图</t>
    <phoneticPr fontId="2" type="noConversion"/>
  </si>
  <si>
    <t>104.750</t>
    <phoneticPr fontId="2" type="noConversion"/>
  </si>
  <si>
    <t>28-29管廊104.750平面平台布置图</t>
    <phoneticPr fontId="2" type="noConversion"/>
  </si>
  <si>
    <t>100.300</t>
    <phoneticPr fontId="2" type="noConversion"/>
  </si>
  <si>
    <t>9-26轴管廊钢结构柱脚平面布置图</t>
    <phoneticPr fontId="2" type="noConversion"/>
  </si>
  <si>
    <t>EL13.200平面布置图</t>
    <phoneticPr fontId="2" type="noConversion"/>
  </si>
  <si>
    <t>100.000</t>
    <phoneticPr fontId="2" type="noConversion"/>
  </si>
  <si>
    <t>100.000</t>
    <phoneticPr fontId="2" type="noConversion"/>
  </si>
  <si>
    <t>H400×400×13×21</t>
    <phoneticPr fontId="2" type="noConversion"/>
  </si>
  <si>
    <t>107-100.3-0.048</t>
    <phoneticPr fontId="2" type="noConversion"/>
  </si>
  <si>
    <t>PL840×800×48</t>
    <phoneticPr fontId="2" type="noConversion"/>
  </si>
  <si>
    <t>PL413.5×530×20-PLT313.5×330×20</t>
    <phoneticPr fontId="2" type="noConversion"/>
  </si>
  <si>
    <t>PL220×530×20-PLT170×180×20</t>
    <phoneticPr fontId="2" type="noConversion"/>
  </si>
  <si>
    <t>PL175×350×20-PLT125×300×20</t>
    <phoneticPr fontId="2" type="noConversion"/>
  </si>
  <si>
    <t>9-26轴管廊107.000及以上平面布置图</t>
    <phoneticPr fontId="2" type="noConversion"/>
  </si>
  <si>
    <t>H440×300×11×18</t>
    <phoneticPr fontId="2" type="noConversion"/>
  </si>
  <si>
    <t>(8+12*3+10.75+2.5+9.5+10.75+12*5+10.75+2.5+9)*2</t>
    <phoneticPr fontId="2" type="noConversion"/>
  </si>
  <si>
    <t>9-0.2*2</t>
    <phoneticPr fontId="2" type="noConversion"/>
  </si>
  <si>
    <t>(8+12*3+10.75+2.5+9.5+10.75+12*5+10.75+2.5+9-0.15*(2*18-4)-0.1*2*40)*2</t>
    <phoneticPr fontId="2" type="noConversion"/>
  </si>
  <si>
    <t>PL144×404×5</t>
    <phoneticPr fontId="2" type="noConversion"/>
  </si>
  <si>
    <t>4*18</t>
    <phoneticPr fontId="2" type="noConversion"/>
  </si>
  <si>
    <t>PL96×374×5</t>
    <phoneticPr fontId="2" type="noConversion"/>
  </si>
  <si>
    <t>4*40</t>
    <phoneticPr fontId="2" type="noConversion"/>
  </si>
  <si>
    <t>B27</t>
  </si>
  <si>
    <t>PL144×404×8</t>
    <phoneticPr fontId="2" type="noConversion"/>
  </si>
  <si>
    <t>4*40</t>
    <phoneticPr fontId="2" type="noConversion"/>
  </si>
  <si>
    <t>H133</t>
  </si>
  <si>
    <t>T125×125×6×9</t>
    <phoneticPr fontId="2" type="noConversion"/>
  </si>
  <si>
    <t>(2.65^2+3^2)^0.5</t>
    <phoneticPr fontId="2" type="noConversion"/>
  </si>
  <si>
    <t>(2.7^2+3^2)^0.5</t>
    <phoneticPr fontId="2" type="noConversion"/>
  </si>
  <si>
    <t>(3^2+3^2)^0.5</t>
    <phoneticPr fontId="2" type="noConversion"/>
  </si>
  <si>
    <t>(2.675^2+3^2)^0.5</t>
    <phoneticPr fontId="2" type="noConversion"/>
  </si>
  <si>
    <t>(2.375^2+3^2)^0.5</t>
    <phoneticPr fontId="2" type="noConversion"/>
  </si>
  <si>
    <t>(2.5^2+3^2)^0.5</t>
    <phoneticPr fontId="2" type="noConversion"/>
  </si>
  <si>
    <t>N-S轴管廊钢结构柱脚平面布置图</t>
    <phoneticPr fontId="2" type="noConversion"/>
  </si>
  <si>
    <t>C4</t>
  </si>
  <si>
    <t>H175×175×7.5×11</t>
  </si>
  <si>
    <t>H175×175×7.5×11</t>
    <phoneticPr fontId="2" type="noConversion"/>
  </si>
  <si>
    <t>C6</t>
  </si>
  <si>
    <t>106.5-100.2-0.03</t>
    <phoneticPr fontId="2" type="noConversion"/>
  </si>
  <si>
    <t>柱脚</t>
  </si>
  <si>
    <t>PL570×530×30</t>
    <phoneticPr fontId="2" type="noConversion"/>
  </si>
  <si>
    <t>PL280.5×350×14-PLT180.5×300×14</t>
    <phoneticPr fontId="2" type="noConversion"/>
  </si>
  <si>
    <t>PL160×375×14-PLT110×125×14</t>
    <phoneticPr fontId="2" type="noConversion"/>
  </si>
  <si>
    <t>PL115×250×14-PLT65×200×14</t>
    <phoneticPr fontId="2" type="noConversion"/>
  </si>
  <si>
    <t>N-S轴管廊106.500平面布置图</t>
  </si>
  <si>
    <t>N-S轴管廊106.500平面布置图</t>
    <phoneticPr fontId="2" type="noConversion"/>
  </si>
  <si>
    <t>RG22</t>
  </si>
  <si>
    <t>102.700</t>
    <phoneticPr fontId="2" type="noConversion"/>
  </si>
  <si>
    <t>RG14</t>
  </si>
  <si>
    <t>104.500</t>
    <phoneticPr fontId="2" type="noConversion"/>
  </si>
  <si>
    <t>RG25</t>
  </si>
  <si>
    <t>6-0.075*2</t>
  </si>
  <si>
    <t>6-0.075*2</t>
    <phoneticPr fontId="2" type="noConversion"/>
  </si>
  <si>
    <t>PL71×282×6</t>
  </si>
  <si>
    <t>PL71×282×6</t>
    <phoneticPr fontId="2" type="noConversion"/>
  </si>
  <si>
    <t>4*3</t>
  </si>
  <si>
    <t>0.5-0.075*2</t>
  </si>
  <si>
    <t>0.5-0.075*2</t>
    <phoneticPr fontId="2" type="noConversion"/>
  </si>
  <si>
    <t>2*3</t>
  </si>
  <si>
    <t>105.900</t>
    <phoneticPr fontId="2" type="noConversion"/>
  </si>
  <si>
    <t>105.900</t>
    <phoneticPr fontId="2" type="noConversion"/>
  </si>
  <si>
    <t>(6-0.125*2)*3+(6-0.125)*2+6*2+7.5*2+5*2+(5-0.125*2)*3+4*2</t>
    <phoneticPr fontId="2" type="noConversion"/>
  </si>
  <si>
    <t>6*2+7.5-0.1*6-0.0625*24</t>
    <phoneticPr fontId="2" type="noConversion"/>
  </si>
  <si>
    <t>(6-0.1*2-0.0625*2)+(2.5-0.1-0.0625)*2</t>
    <phoneticPr fontId="2" type="noConversion"/>
  </si>
  <si>
    <t>PL96×270×5.5</t>
    <phoneticPr fontId="2" type="noConversion"/>
  </si>
  <si>
    <t>PL59×232×5.5</t>
    <phoneticPr fontId="2" type="noConversion"/>
  </si>
  <si>
    <t>B24</t>
  </si>
  <si>
    <t>H250×125×6×9</t>
    <phoneticPr fontId="2" type="noConversion"/>
  </si>
  <si>
    <t>PL96×270×6</t>
    <phoneticPr fontId="2" type="noConversion"/>
  </si>
  <si>
    <t>PL59×232×6</t>
    <phoneticPr fontId="2" type="noConversion"/>
  </si>
  <si>
    <t>3+4*5+2</t>
    <phoneticPr fontId="2" type="noConversion"/>
  </si>
  <si>
    <t>(6-0.1*2-0.0625*2)+(5-0.1*2)*5+(4-0.1*2)</t>
    <phoneticPr fontId="2" type="noConversion"/>
  </si>
  <si>
    <t>？？？H133</t>
  </si>
  <si>
    <t>？？？T125×125×6×9</t>
    <phoneticPr fontId="2" type="noConversion"/>
  </si>
  <si>
    <t>(1.5^2+1.25^2)^0.5</t>
    <phoneticPr fontId="2" type="noConversion"/>
  </si>
  <si>
    <t>(2.5^2+2.5^2)^0.5</t>
    <phoneticPr fontId="2" type="noConversion"/>
  </si>
  <si>
    <t>(3^2+2^2)^0.5</t>
    <phoneticPr fontId="2" type="noConversion"/>
  </si>
  <si>
    <t>N-S轴管廊 N、P轴立面布置图</t>
    <phoneticPr fontId="2" type="noConversion"/>
  </si>
  <si>
    <t>(1.8^2+1.8^2)^0.5</t>
    <phoneticPr fontId="2" type="noConversion"/>
  </si>
  <si>
    <t>9-15轴管廊基础埋件及管道支架布置图</t>
    <phoneticPr fontId="2" type="noConversion"/>
  </si>
  <si>
    <t>TS-001</t>
  </si>
  <si>
    <t>(0.9^2+0.9^2)^0.5</t>
    <phoneticPr fontId="2" type="noConversion"/>
  </si>
  <si>
    <t>TS-002</t>
  </si>
  <si>
    <t>？？？H194×150×6×9</t>
  </si>
  <si>
    <t>？？？H194×150×6×9</t>
    <phoneticPr fontId="2" type="noConversion"/>
  </si>
  <si>
    <t>TS-003</t>
  </si>
  <si>
    <t>H194×150×6×9</t>
    <phoneticPr fontId="2" type="noConversion"/>
  </si>
  <si>
    <t>1-0.1</t>
    <phoneticPr fontId="2" type="noConversion"/>
  </si>
  <si>
    <t>1.9-0.0875*2</t>
  </si>
  <si>
    <t>1.9-0.0875*2</t>
    <phoneticPr fontId="2" type="noConversion"/>
  </si>
  <si>
    <t>(0.75-0.1)*2</t>
    <phoneticPr fontId="2" type="noConversion"/>
  </si>
  <si>
    <t>(0.65^2+0.65^2)^0.5*2</t>
    <phoneticPr fontId="2" type="noConversion"/>
  </si>
  <si>
    <t>TS-004</t>
  </si>
  <si>
    <t>(1.6-0.0875)+(0.3-0.0875)</t>
  </si>
  <si>
    <t>(1.6-0.0875)+(0.3-0.0875)</t>
    <phoneticPr fontId="2" type="noConversion"/>
  </si>
  <si>
    <t>TYPE-F？？？</t>
  </si>
  <si>
    <t>TYPE-F？？？</t>
    <phoneticPr fontId="2" type="noConversion"/>
  </si>
  <si>
    <t>16-25轴管廊基础埋件及管道支架布置图</t>
    <phoneticPr fontId="2" type="noConversion"/>
  </si>
  <si>
    <t>汇总</t>
    <phoneticPr fontId="2" type="noConversion"/>
  </si>
  <si>
    <t>Q235-B</t>
  </si>
  <si>
    <t>m</t>
  </si>
  <si>
    <t>H型钢</t>
  </si>
  <si>
    <t>T型钢</t>
  </si>
  <si>
    <t>角钢</t>
  </si>
  <si>
    <t>板件</t>
  </si>
  <si>
    <t>C5</t>
  </si>
  <si>
    <t>C15</t>
  </si>
  <si>
    <t>G14</t>
  </si>
  <si>
    <t>B14</t>
  </si>
  <si>
    <t>RG24</t>
  </si>
  <si>
    <t>G27</t>
  </si>
  <si>
    <t>RG27</t>
  </si>
  <si>
    <t>G25</t>
  </si>
  <si>
    <t>RG28</t>
  </si>
  <si>
    <t>B26</t>
  </si>
  <si>
    <t>G26</t>
  </si>
  <si>
    <t>RG26</t>
  </si>
  <si>
    <t>B1</t>
  </si>
  <si>
    <t>C9</t>
  </si>
  <si>
    <t>RG17</t>
  </si>
  <si>
    <t>YRG17</t>
  </si>
  <si>
    <t>？？？H200×200×8×12</t>
  </si>
  <si>
    <t>？？？H340×250×9×14</t>
  </si>
  <si>
    <t>？？？H340×250×9×14</t>
    <phoneticPr fontId="2" type="noConversion"/>
  </si>
  <si>
    <t>(7-0.17*2)*8+(7-0.195*2)*8</t>
    <phoneticPr fontId="2" type="noConversion"/>
  </si>
  <si>
    <t>(7-0.17*2)*12-(7-0.195*2)*12</t>
    <phoneticPr fontId="2" type="noConversion"/>
  </si>
  <si>
    <t>？？？H250×250×9×14</t>
    <phoneticPr fontId="2" type="noConversion"/>
  </si>
  <si>
    <t>？？？H150×150×7×10</t>
    <phoneticPr fontId="2" type="noConversion"/>
  </si>
  <si>
    <t>区域</t>
    <phoneticPr fontId="2" type="noConversion"/>
  </si>
  <si>
    <t>金额(元)</t>
    <phoneticPr fontId="2" type="noConversion"/>
  </si>
  <si>
    <t>备注</t>
    <phoneticPr fontId="2" type="noConversion"/>
  </si>
  <si>
    <t>重量(t)</t>
    <phoneticPr fontId="2" type="noConversion"/>
  </si>
  <si>
    <t>14号管廊</t>
    <phoneticPr fontId="2" type="noConversion"/>
  </si>
  <si>
    <t>15号管廊</t>
  </si>
  <si>
    <t>16号管廊</t>
  </si>
  <si>
    <t>17号管廊</t>
  </si>
  <si>
    <t>常压主管廊</t>
    <phoneticPr fontId="2" type="noConversion"/>
  </si>
  <si>
    <t>常压电仪管廊</t>
    <phoneticPr fontId="2" type="noConversion"/>
  </si>
  <si>
    <t>覆土管架</t>
    <phoneticPr fontId="2" type="noConversion"/>
  </si>
  <si>
    <t>覆土泵棚</t>
    <phoneticPr fontId="2" type="noConversion"/>
  </si>
  <si>
    <t>液体装卸站</t>
    <phoneticPr fontId="2" type="noConversion"/>
  </si>
  <si>
    <t>合计</t>
    <phoneticPr fontId="2" type="noConversion"/>
  </si>
  <si>
    <r>
      <t>面积(m</t>
    </r>
    <r>
      <rPr>
        <b/>
        <vertAlign val="superscript"/>
        <sz val="12"/>
        <color indexed="8"/>
        <rFont val="微软雅黑"/>
        <family val="2"/>
        <charset val="134"/>
      </rPr>
      <t>2</t>
    </r>
    <r>
      <rPr>
        <b/>
        <sz val="12"/>
        <color indexed="8"/>
        <rFont val="微软雅黑"/>
        <family val="2"/>
        <charset val="134"/>
      </rPr>
      <t>)</t>
    </r>
    <phoneticPr fontId="2" type="noConversion"/>
  </si>
  <si>
    <r>
      <t>单价(元/m</t>
    </r>
    <r>
      <rPr>
        <b/>
        <vertAlign val="superscript"/>
        <sz val="12"/>
        <color indexed="8"/>
        <rFont val="微软雅黑"/>
        <family val="2"/>
        <charset val="134"/>
      </rPr>
      <t>2</t>
    </r>
    <r>
      <rPr>
        <b/>
        <sz val="12"/>
        <color indexed="8"/>
        <rFont val="微软雅黑"/>
        <family val="2"/>
        <charset val="134"/>
      </rPr>
      <t>)</t>
    </r>
    <phoneticPr fontId="2" type="noConversion"/>
  </si>
  <si>
    <t>10.7-6.4-0.03</t>
    <phoneticPr fontId="2" type="noConversion"/>
  </si>
  <si>
    <t>10.7-6.4-0.036</t>
    <phoneticPr fontId="2" type="noConversion"/>
  </si>
  <si>
    <t>14.2-6.4-0.042</t>
    <phoneticPr fontId="2" type="noConversion"/>
  </si>
  <si>
    <t>10.7-6.4-0.042</t>
    <phoneticPr fontId="2" type="noConversion"/>
  </si>
  <si>
    <t>13.2-6.4-0.036</t>
    <phoneticPr fontId="2" type="noConversion"/>
  </si>
  <si>
    <t>13.2-6.4-0.042</t>
    <phoneticPr fontId="2" type="noConversion"/>
  </si>
  <si>
    <t>？？？H294×200×8×12</t>
    <phoneticPr fontId="2" type="noConversion"/>
  </si>
  <si>
    <t>11.7-6.4-0.03</t>
    <phoneticPr fontId="2" type="noConversion"/>
  </si>
  <si>
    <t>11.7-6.4-0.036</t>
    <phoneticPr fontId="2" type="noConversion"/>
  </si>
  <si>
    <t>11.7-6.4-0.03</t>
    <phoneticPr fontId="2" type="noConversion"/>
  </si>
  <si>
    <t>105.5-100-0.03</t>
    <phoneticPr fontId="2" type="noConversion"/>
  </si>
  <si>
    <t>105.5-100-0.036</t>
    <phoneticPr fontId="2" type="noConversion"/>
  </si>
  <si>
    <t>105.5-100-0.03</t>
    <phoneticPr fontId="2" type="noConversion"/>
  </si>
  <si>
    <t>107-100-0.03</t>
    <phoneticPr fontId="2" type="noConversion"/>
  </si>
  <si>
    <t>105.5-100-0.036</t>
    <phoneticPr fontId="2" type="noConversion"/>
  </si>
  <si>
    <t>107-100-0.036</t>
    <phoneticPr fontId="2" type="noConversion"/>
  </si>
  <si>
    <t>107-100-0.048</t>
    <phoneticPr fontId="2" type="noConversion"/>
  </si>
  <si>
    <t>107-100-0.036</t>
    <phoneticPr fontId="2" type="noConversion"/>
  </si>
  <si>
    <t>107-100-0.036</t>
    <phoneticPr fontId="2" type="noConversion"/>
  </si>
  <si>
    <t>3.35+0.2-0.025</t>
    <phoneticPr fontId="2" type="noConversion"/>
  </si>
  <si>
    <t>103-100.2-0.025</t>
    <phoneticPr fontId="2" type="noConversion"/>
  </si>
  <si>
    <t>(103-100.2-0.03)*6+(4.5-0.03)*10</t>
    <phoneticPr fontId="2" type="noConversion"/>
  </si>
  <si>
    <t>4.5-0.03</t>
    <phoneticPr fontId="2" type="noConversion"/>
  </si>
  <si>
    <t>105.5-100.2-0.03</t>
    <phoneticPr fontId="2" type="noConversion"/>
  </si>
  <si>
    <t>105.5-100.2-0.03</t>
    <phoneticPr fontId="2" type="noConversion"/>
  </si>
  <si>
    <t>107-100.2-0.03</t>
    <phoneticPr fontId="2" type="noConversion"/>
  </si>
  <si>
    <t>(105-100.2-0.03)*12+(106.5-100.2-0.03)*12</t>
    <phoneticPr fontId="2" type="noConversion"/>
  </si>
  <si>
    <t>106.5-100.2-0.025</t>
    <phoneticPr fontId="2" type="noConversion"/>
  </si>
  <si>
    <t>103.2-100.3-0.03</t>
    <phoneticPr fontId="2" type="noConversion"/>
  </si>
  <si>
    <t>(103.5-100.3-0.025)*2</t>
    <phoneticPr fontId="2" type="noConversion"/>
  </si>
  <si>
    <t>103.5-100.3-0.03</t>
    <phoneticPr fontId="2" type="noConversion"/>
  </si>
  <si>
    <t>(103.5-100.3-0.025)*2</t>
    <phoneticPr fontId="2" type="noConversion"/>
  </si>
  <si>
    <t>柱脚</t>
    <phoneticPr fontId="2" type="noConversion"/>
  </si>
  <si>
    <t>板件</t>
    <phoneticPr fontId="2" type="noConversion"/>
  </si>
  <si>
    <t>PL530×570×30</t>
  </si>
  <si>
    <t>PL530×570×30</t>
    <phoneticPr fontId="2" type="noConversion"/>
  </si>
  <si>
    <t>1</t>
  </si>
  <si>
    <t>1</t>
    <phoneticPr fontId="2" type="noConversion"/>
  </si>
  <si>
    <t>2</t>
  </si>
  <si>
    <t>2</t>
    <phoneticPr fontId="2" type="noConversion"/>
  </si>
  <si>
    <t>4</t>
  </si>
  <si>
    <t>4</t>
    <phoneticPr fontId="2" type="noConversion"/>
  </si>
  <si>
    <t>8</t>
    <phoneticPr fontId="2" type="noConversion"/>
  </si>
  <si>
    <t>PL700×660×36</t>
  </si>
  <si>
    <t>PL700×660×36</t>
    <phoneticPr fontId="2" type="noConversion"/>
  </si>
  <si>
    <t>PL780×750×42</t>
  </si>
  <si>
    <t>PL780×750×42</t>
    <phoneticPr fontId="2" type="noConversion"/>
  </si>
  <si>
    <t>PL840×750×42</t>
    <phoneticPr fontId="2" type="noConversion"/>
  </si>
  <si>
    <t>PL940×750×42</t>
    <phoneticPr fontId="2" type="noConversion"/>
  </si>
  <si>
    <t>？？？PL950×980×42</t>
    <phoneticPr fontId="2" type="noConversion"/>
  </si>
  <si>
    <t>10</t>
    <phoneticPr fontId="2" type="noConversion"/>
  </si>
  <si>
    <t>柱脚</t>
    <phoneticPr fontId="2" type="noConversion"/>
  </si>
  <si>
    <t>H型钢</t>
    <phoneticPr fontId="2" type="noConversion"/>
  </si>
  <si>
    <t>板件</t>
    <phoneticPr fontId="2" type="noConversion"/>
  </si>
  <si>
    <t>？？？</t>
    <phoneticPr fontId="2" type="noConversion"/>
  </si>
  <si>
    <t>？？？</t>
    <phoneticPr fontId="2" type="noConversion"/>
  </si>
  <si>
    <t>PL620×570×30</t>
  </si>
  <si>
    <t>PL620×570×30</t>
    <phoneticPr fontId="2" type="noConversion"/>
  </si>
  <si>
    <t>H型钢</t>
    <phoneticPr fontId="2" type="noConversion"/>
  </si>
  <si>
    <t>板件</t>
    <phoneticPr fontId="2" type="noConversion"/>
  </si>
  <si>
    <t>PL530×570×30</t>
    <phoneticPr fontId="2" type="noConversion"/>
  </si>
  <si>
    <t>PL610×660×36</t>
  </si>
  <si>
    <t>PL610×660×36</t>
    <phoneticPr fontId="2" type="noConversion"/>
  </si>
  <si>
    <t>PL480×400×30</t>
  </si>
  <si>
    <t>PL480×400×30</t>
    <phoneticPr fontId="2" type="noConversion"/>
  </si>
  <si>
    <t>PL800×840×48</t>
    <phoneticPr fontId="2" type="noConversion"/>
  </si>
  <si>
    <t>100.2</t>
    <phoneticPr fontId="2" type="noConversion"/>
  </si>
  <si>
    <t>100.2</t>
    <phoneticPr fontId="2" type="noConversion"/>
  </si>
  <si>
    <t>100.2</t>
    <phoneticPr fontId="2" type="noConversion"/>
  </si>
  <si>
    <t>100.2</t>
    <phoneticPr fontId="2" type="noConversion"/>
  </si>
  <si>
    <t>PL380×320×25</t>
    <phoneticPr fontId="2" type="noConversion"/>
  </si>
  <si>
    <t>？？？</t>
    <phoneticPr fontId="2" type="noConversion"/>
  </si>
  <si>
    <t>PL420×340×25</t>
  </si>
  <si>
    <t>PL420×340×25</t>
    <phoneticPr fontId="2" type="noConversion"/>
  </si>
  <si>
    <t>说明：</t>
    <phoneticPr fontId="2" type="noConversion"/>
  </si>
  <si>
    <t>1、钢柱柱脚竖板图集标注不清，无法计算；
2、部分构件规格图纸标注不清，暂按推测规格计算，后续可能需要调整；
3、柱间支撑、水平支撑按对角线全长计算，未计入连接板，后续需要调整；
4、其余不能确定处，详见计算书内备注栏。</t>
    <phoneticPr fontId="2" type="noConversion"/>
  </si>
  <si>
    <t>工程量汇总表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</si>
</sst>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77" formatCode="0.000_ "/>
  </numFmts>
  <fonts count="9">
    <font>
      <sz val="11"/>
      <color indexed="8"/>
      <name val="宋体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indexed="8"/>
      <name val="宋体"/>
      <family val="3"/>
      <charset val="134"/>
    </font>
    <font>
      <b/>
      <sz val="14"/>
      <color indexed="8"/>
      <name val="微软雅黑"/>
      <family val="2"/>
      <charset val="134"/>
    </font>
    <font>
      <sz val="12"/>
      <color indexed="8"/>
      <name val="微软雅黑"/>
      <family val="2"/>
      <charset val="134"/>
    </font>
    <font>
      <b/>
      <sz val="12"/>
      <color indexed="8"/>
      <name val="微软雅黑"/>
      <family val="2"/>
      <charset val="134"/>
    </font>
    <font>
      <b/>
      <vertAlign val="superscript"/>
      <sz val="12"/>
      <color indexed="8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35">
    <xf numFmtId="0" fontId="0" fillId="0" borderId="0" xfId="0">
      <alignment vertical="center"/>
    </xf>
    <xf numFmtId="0" fontId="1" fillId="0" borderId="0" xfId="0" applyFont="1" applyFill="1" applyAlignment="1">
      <alignment horizontal="center" vertical="center" wrapText="1"/>
    </xf>
    <xf numFmtId="49" fontId="1" fillId="0" borderId="0" xfId="0" applyNumberFormat="1" applyFont="1" applyFill="1" applyAlignment="1">
      <alignment horizontal="center" vertical="center" wrapText="1"/>
    </xf>
    <xf numFmtId="0" fontId="1" fillId="0" borderId="0" xfId="0" applyFont="1" applyFill="1" applyAlignment="1">
      <alignment horizontal="left" vertical="center" wrapText="1"/>
    </xf>
    <xf numFmtId="0" fontId="1" fillId="0" borderId="0" xfId="0" applyFont="1" applyFill="1" applyBorder="1" applyAlignment="1">
      <alignment horizontal="center" vertical="center" wrapText="1"/>
    </xf>
    <xf numFmtId="49" fontId="1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49" fontId="4" fillId="0" borderId="0" xfId="0" applyNumberFormat="1" applyFont="1" applyFill="1" applyBorder="1" applyAlignment="1">
      <alignment horizontal="center" vertical="center" wrapText="1"/>
    </xf>
    <xf numFmtId="49" fontId="4" fillId="0" borderId="0" xfId="0" applyNumberFormat="1" applyFont="1" applyFill="1" applyBorder="1" applyAlignment="1">
      <alignment horizontal="left" vertical="center" wrapText="1"/>
    </xf>
    <xf numFmtId="177" fontId="1" fillId="0" borderId="0" xfId="0" applyNumberFormat="1" applyFont="1" applyFill="1" applyBorder="1" applyAlignment="1">
      <alignment horizontal="center" vertical="center" wrapText="1"/>
    </xf>
    <xf numFmtId="176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left" vertical="center" wrapText="1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7" fontId="1" fillId="0" borderId="0" xfId="0" applyNumberFormat="1" applyFont="1" applyFill="1" applyBorder="1" applyAlignment="1">
      <alignment horizontal="right" vertical="center"/>
    </xf>
    <xf numFmtId="177" fontId="1" fillId="0" borderId="0" xfId="0" applyNumberFormat="1" applyFont="1" applyFill="1" applyAlignment="1">
      <alignment horizontal="right" vertical="center"/>
    </xf>
    <xf numFmtId="176" fontId="1" fillId="0" borderId="0" xfId="0" applyNumberFormat="1" applyFont="1" applyFill="1" applyBorder="1" applyAlignment="1">
      <alignment horizontal="right" vertical="center"/>
    </xf>
    <xf numFmtId="176" fontId="1" fillId="0" borderId="0" xfId="0" applyNumberFormat="1" applyFont="1" applyFill="1" applyAlignment="1">
      <alignment horizontal="right" vertical="center"/>
    </xf>
    <xf numFmtId="49" fontId="4" fillId="0" borderId="0" xfId="0" applyNumberFormat="1" applyFont="1" applyFill="1" applyAlignment="1">
      <alignment horizontal="center" vertical="center" wrapText="1"/>
    </xf>
    <xf numFmtId="49" fontId="1" fillId="0" borderId="0" xfId="0" applyNumberFormat="1" applyFont="1" applyFill="1" applyBorder="1" applyAlignment="1">
      <alignment horizontal="left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176" fontId="7" fillId="0" borderId="1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right" vertical="center"/>
    </xf>
    <xf numFmtId="176" fontId="7" fillId="0" borderId="1" xfId="0" applyNumberFormat="1" applyFont="1" applyBorder="1" applyAlignment="1">
      <alignment horizontal="right" vertical="center"/>
    </xf>
    <xf numFmtId="176" fontId="6" fillId="0" borderId="0" xfId="0" applyNumberFormat="1" applyFont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center"/>
    </xf>
  </cellXfs>
  <cellStyles count="2">
    <cellStyle name="常规" xfId="0" builtinId="0"/>
    <cellStyle name="常规 2" xfId="1"/>
  </cellStyles>
  <dxfs count="18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"/>
  <sheetViews>
    <sheetView tabSelected="1" workbookViewId="0">
      <selection sqref="A1:F1"/>
    </sheetView>
  </sheetViews>
  <sheetFormatPr defaultRowHeight="17.25"/>
  <cols>
    <col min="1" max="1" width="15.625" style="22" customWidth="1"/>
    <col min="2" max="3" width="12.625" style="31" customWidth="1"/>
    <col min="4" max="5" width="14.625" style="31" customWidth="1"/>
    <col min="6" max="6" width="15.625" style="23" customWidth="1"/>
    <col min="7" max="16384" width="9" style="22"/>
  </cols>
  <sheetData>
    <row r="1" spans="1:6" ht="21">
      <c r="A1" s="32" t="s">
        <v>1090</v>
      </c>
      <c r="B1" s="32"/>
      <c r="C1" s="32"/>
      <c r="D1" s="32"/>
      <c r="E1" s="32"/>
      <c r="F1" s="32"/>
    </row>
    <row r="2" spans="1:6" ht="20.25">
      <c r="A2" s="26" t="s">
        <v>998</v>
      </c>
      <c r="B2" s="28" t="s">
        <v>1012</v>
      </c>
      <c r="C2" s="28" t="s">
        <v>1001</v>
      </c>
      <c r="D2" s="28" t="s">
        <v>1013</v>
      </c>
      <c r="E2" s="28" t="s">
        <v>999</v>
      </c>
      <c r="F2" s="26" t="s">
        <v>1000</v>
      </c>
    </row>
    <row r="3" spans="1:6">
      <c r="A3" s="24" t="s">
        <v>1002</v>
      </c>
      <c r="B3" s="29">
        <f>'14号管廊'!P85</f>
        <v>3430.159749811291</v>
      </c>
      <c r="C3" s="29">
        <f>'14号管廊'!N85</f>
        <v>196.95315089219147</v>
      </c>
      <c r="D3" s="29"/>
      <c r="E3" s="29">
        <f>B3*D3</f>
        <v>0</v>
      </c>
      <c r="F3" s="25"/>
    </row>
    <row r="4" spans="1:6">
      <c r="A4" s="24" t="s">
        <v>1003</v>
      </c>
      <c r="B4" s="29">
        <f>'15号管廊'!P43</f>
        <v>3144.3758654058988</v>
      </c>
      <c r="C4" s="29">
        <f>'15号管廊'!N43</f>
        <v>155.53330197465374</v>
      </c>
      <c r="D4" s="29"/>
      <c r="E4" s="29">
        <f t="shared" ref="E4:E11" si="0">B4*D4</f>
        <v>0</v>
      </c>
      <c r="F4" s="25"/>
    </row>
    <row r="5" spans="1:6">
      <c r="A5" s="24" t="s">
        <v>1004</v>
      </c>
      <c r="B5" s="29">
        <f>'16号管廊'!P23</f>
        <v>1409.7595708262652</v>
      </c>
      <c r="C5" s="29">
        <f>'16号管廊'!N23</f>
        <v>64.906647326470321</v>
      </c>
      <c r="D5" s="29"/>
      <c r="E5" s="29">
        <f t="shared" si="0"/>
        <v>0</v>
      </c>
      <c r="F5" s="25"/>
    </row>
    <row r="6" spans="1:6">
      <c r="A6" s="24" t="s">
        <v>1005</v>
      </c>
      <c r="B6" s="29">
        <f>'17号管廊'!P22</f>
        <v>1947.4700944638598</v>
      </c>
      <c r="C6" s="29">
        <f>'17号管廊'!N22</f>
        <v>90.387676341762813</v>
      </c>
      <c r="D6" s="29"/>
      <c r="E6" s="29">
        <f t="shared" si="0"/>
        <v>0</v>
      </c>
      <c r="F6" s="25"/>
    </row>
    <row r="7" spans="1:6">
      <c r="A7" s="24" t="s">
        <v>1006</v>
      </c>
      <c r="B7" s="29">
        <f>常压主管廊!P227</f>
        <v>5762.9798650131925</v>
      </c>
      <c r="C7" s="29">
        <f>常压主管廊!N227</f>
        <v>267.96974944997379</v>
      </c>
      <c r="D7" s="29"/>
      <c r="E7" s="29">
        <f t="shared" si="0"/>
        <v>0</v>
      </c>
      <c r="F7" s="25"/>
    </row>
    <row r="8" spans="1:6">
      <c r="A8" s="24" t="s">
        <v>1007</v>
      </c>
      <c r="B8" s="29">
        <f>常压电仪管廊!P75</f>
        <v>767.15655015965751</v>
      </c>
      <c r="C8" s="29">
        <f>常压电仪管廊!N75</f>
        <v>27.923050925667251</v>
      </c>
      <c r="D8" s="29"/>
      <c r="E8" s="29">
        <f t="shared" si="0"/>
        <v>0</v>
      </c>
      <c r="F8" s="25"/>
    </row>
    <row r="9" spans="1:6">
      <c r="A9" s="24" t="s">
        <v>1008</v>
      </c>
      <c r="B9" s="29">
        <f>覆土管架!P48</f>
        <v>1263.9969859535756</v>
      </c>
      <c r="C9" s="29">
        <f>覆土管架!N48</f>
        <v>55.19838888597635</v>
      </c>
      <c r="D9" s="29"/>
      <c r="E9" s="29">
        <f t="shared" si="0"/>
        <v>0</v>
      </c>
      <c r="F9" s="25"/>
    </row>
    <row r="10" spans="1:6">
      <c r="A10" s="24" t="s">
        <v>1009</v>
      </c>
      <c r="B10" s="29">
        <f>覆土泵棚!P42</f>
        <v>1733.4027529014249</v>
      </c>
      <c r="C10" s="29">
        <f>覆土泵棚!N42</f>
        <v>73.291285185188926</v>
      </c>
      <c r="D10" s="29"/>
      <c r="E10" s="29">
        <f t="shared" si="0"/>
        <v>0</v>
      </c>
      <c r="F10" s="25"/>
    </row>
    <row r="11" spans="1:6">
      <c r="A11" s="24" t="s">
        <v>1010</v>
      </c>
      <c r="B11" s="29">
        <f>液体装卸站!P200</f>
        <v>5136.7546589594222</v>
      </c>
      <c r="C11" s="29">
        <f>液体装卸站!N200</f>
        <v>247.26672221664077</v>
      </c>
      <c r="D11" s="29"/>
      <c r="E11" s="29">
        <f t="shared" si="0"/>
        <v>0</v>
      </c>
      <c r="F11" s="25"/>
    </row>
    <row r="12" spans="1:6" ht="18">
      <c r="A12" s="26" t="s">
        <v>1011</v>
      </c>
      <c r="B12" s="30">
        <f>SUM(B3:B11)</f>
        <v>24596.056093494582</v>
      </c>
      <c r="C12" s="30">
        <f>SUM(C3:C11)</f>
        <v>1179.4299731985252</v>
      </c>
      <c r="D12" s="30"/>
      <c r="E12" s="30">
        <f>SUM(E3:E11)</f>
        <v>0</v>
      </c>
      <c r="F12" s="27"/>
    </row>
    <row r="14" spans="1:6">
      <c r="A14" s="23" t="s">
        <v>1088</v>
      </c>
    </row>
    <row r="15" spans="1:6" ht="80.099999999999994" customHeight="1">
      <c r="A15" s="33" t="s">
        <v>1089</v>
      </c>
      <c r="B15" s="34"/>
      <c r="C15" s="34"/>
      <c r="D15" s="34"/>
      <c r="E15" s="34"/>
      <c r="F15" s="34"/>
    </row>
  </sheetData>
  <mergeCells count="2">
    <mergeCell ref="A1:F1"/>
    <mergeCell ref="A15:F15"/>
  </mergeCells>
  <phoneticPr fontId="2" type="noConversion"/>
  <printOptions horizontalCentered="1"/>
  <pageMargins left="0.78740157480314965" right="0.59055118110236227" top="0.59055118110236227" bottom="0.59055118110236227" header="0.39370078740157483" footer="0.3937007874015748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Q85"/>
  <sheetViews>
    <sheetView workbookViewId="0">
      <pane ySplit="1" topLeftCell="A56" activePane="bottomLeft" state="frozen"/>
      <selection activeCell="E17" sqref="E17"/>
      <selection pane="bottomLeft" activeCell="Q85" sqref="Q85"/>
    </sheetView>
  </sheetViews>
  <sheetFormatPr defaultColWidth="9" defaultRowHeight="12"/>
  <cols>
    <col min="1" max="1" width="4.375" style="13" customWidth="1"/>
    <col min="2" max="2" width="9" style="2" customWidth="1"/>
    <col min="3" max="3" width="13.625" style="2" customWidth="1"/>
    <col min="4" max="4" width="10.5" style="1" customWidth="1"/>
    <col min="5" max="5" width="12.5" style="13" customWidth="1"/>
    <col min="6" max="6" width="15.625" style="2" customWidth="1"/>
    <col min="7" max="7" width="7.5" style="13" customWidth="1"/>
    <col min="8" max="8" width="6.125" style="13" customWidth="1"/>
    <col min="9" max="9" width="18.5" style="3" customWidth="1"/>
    <col min="10" max="10" width="9.625" style="17" customWidth="1"/>
    <col min="11" max="11" width="7.5" style="13" customWidth="1"/>
    <col min="12" max="12" width="9" style="17"/>
    <col min="13" max="13" width="9.375" style="17" customWidth="1"/>
    <col min="14" max="14" width="8.625" style="19" customWidth="1"/>
    <col min="15" max="15" width="8.625" style="17" customWidth="1"/>
    <col min="16" max="16" width="9.5" style="19" bestFit="1" customWidth="1"/>
    <col min="17" max="17" width="9.125" style="13" customWidth="1"/>
    <col min="18" max="16384" width="9" style="13"/>
  </cols>
  <sheetData>
    <row r="1" spans="1:17" s="1" customFormat="1" ht="24">
      <c r="A1" s="4" t="s">
        <v>0</v>
      </c>
      <c r="B1" s="5" t="s">
        <v>1</v>
      </c>
      <c r="C1" s="5" t="s">
        <v>2</v>
      </c>
      <c r="D1" s="4" t="s">
        <v>3</v>
      </c>
      <c r="E1" s="4" t="s">
        <v>4</v>
      </c>
      <c r="F1" s="5" t="s">
        <v>5</v>
      </c>
      <c r="G1" s="4" t="s">
        <v>6</v>
      </c>
      <c r="H1" s="4" t="s">
        <v>7</v>
      </c>
      <c r="I1" s="5" t="s">
        <v>8</v>
      </c>
      <c r="J1" s="9" t="s">
        <v>9</v>
      </c>
      <c r="K1" s="4" t="s">
        <v>10</v>
      </c>
      <c r="L1" s="9" t="s">
        <v>11</v>
      </c>
      <c r="M1" s="9" t="s">
        <v>12</v>
      </c>
      <c r="N1" s="10" t="s">
        <v>13</v>
      </c>
      <c r="O1" s="9" t="s">
        <v>14</v>
      </c>
      <c r="P1" s="10" t="s">
        <v>15</v>
      </c>
      <c r="Q1" s="4" t="s">
        <v>16</v>
      </c>
    </row>
    <row r="2" spans="1:17" s="15" customFormat="1" ht="24">
      <c r="A2" s="12">
        <v>1</v>
      </c>
      <c r="B2" s="7" t="s">
        <v>112</v>
      </c>
      <c r="C2" s="5" t="s">
        <v>17</v>
      </c>
      <c r="D2" s="6" t="s">
        <v>120</v>
      </c>
      <c r="E2" s="12" t="s">
        <v>825</v>
      </c>
      <c r="F2" s="7" t="s">
        <v>121</v>
      </c>
      <c r="G2" s="12" t="s">
        <v>822</v>
      </c>
      <c r="H2" s="14" t="s">
        <v>823</v>
      </c>
      <c r="I2" s="21" t="s">
        <v>1014</v>
      </c>
      <c r="J2" s="16">
        <f>JG</f>
        <v>4.2699999999999987</v>
      </c>
      <c r="K2" s="14">
        <v>2</v>
      </c>
      <c r="L2" s="16">
        <f t="shared" ref="L2:L56" si="0">J2*K2</f>
        <v>8.5399999999999974</v>
      </c>
      <c r="M2" s="16">
        <v>71.8</v>
      </c>
      <c r="N2" s="18">
        <f t="shared" ref="N2:N56" si="1">L2*M2*0.001</f>
        <v>0.61317199999999983</v>
      </c>
      <c r="O2" s="16">
        <v>1.46</v>
      </c>
      <c r="P2" s="18">
        <f t="shared" ref="P2:P56" si="2">O2*L2</f>
        <v>12.468399999999995</v>
      </c>
      <c r="Q2" s="12"/>
    </row>
    <row r="3" spans="1:17" s="15" customFormat="1" ht="24">
      <c r="A3" s="12">
        <v>2</v>
      </c>
      <c r="B3" s="7" t="s">
        <v>109</v>
      </c>
      <c r="C3" s="5" t="s">
        <v>17</v>
      </c>
      <c r="D3" s="6" t="s">
        <v>1046</v>
      </c>
      <c r="E3" s="12" t="s">
        <v>1047</v>
      </c>
      <c r="F3" s="7" t="s">
        <v>1049</v>
      </c>
      <c r="G3" s="12" t="s">
        <v>822</v>
      </c>
      <c r="H3" s="14" t="s">
        <v>823</v>
      </c>
      <c r="I3" s="21" t="s">
        <v>1051</v>
      </c>
      <c r="J3" s="16">
        <f>JG</f>
        <v>1</v>
      </c>
      <c r="K3" s="14">
        <v>2</v>
      </c>
      <c r="L3" s="16">
        <f t="shared" si="0"/>
        <v>2</v>
      </c>
      <c r="M3" s="16">
        <f>0.53*0.57*0.03*7850</f>
        <v>71.144549999999995</v>
      </c>
      <c r="N3" s="18">
        <f t="shared" si="1"/>
        <v>0.1422891</v>
      </c>
      <c r="O3" s="16">
        <f>0.53*0.57</f>
        <v>0.30209999999999998</v>
      </c>
      <c r="P3" s="18">
        <f t="shared" si="2"/>
        <v>0.60419999999999996</v>
      </c>
      <c r="Q3" s="12"/>
    </row>
    <row r="4" spans="1:17" s="15" customFormat="1" ht="24">
      <c r="A4" s="12">
        <v>3</v>
      </c>
      <c r="B4" s="7" t="s">
        <v>109</v>
      </c>
      <c r="C4" s="5" t="s">
        <v>17</v>
      </c>
      <c r="D4" s="6" t="s">
        <v>1046</v>
      </c>
      <c r="E4" s="12" t="s">
        <v>1047</v>
      </c>
      <c r="F4" s="7" t="s">
        <v>479</v>
      </c>
      <c r="G4" s="12" t="s">
        <v>822</v>
      </c>
      <c r="H4" s="14" t="s">
        <v>823</v>
      </c>
      <c r="I4" s="21" t="s">
        <v>1053</v>
      </c>
      <c r="J4" s="16">
        <f>JG</f>
        <v>2</v>
      </c>
      <c r="K4" s="14">
        <v>2</v>
      </c>
      <c r="L4" s="16">
        <f t="shared" si="0"/>
        <v>4</v>
      </c>
      <c r="M4" s="16"/>
      <c r="N4" s="18">
        <f t="shared" si="1"/>
        <v>0</v>
      </c>
      <c r="O4" s="16"/>
      <c r="P4" s="18">
        <f t="shared" si="2"/>
        <v>0</v>
      </c>
      <c r="Q4" s="12"/>
    </row>
    <row r="5" spans="1:17" s="15" customFormat="1" ht="24">
      <c r="A5" s="12">
        <v>4</v>
      </c>
      <c r="B5" s="7" t="s">
        <v>109</v>
      </c>
      <c r="C5" s="5" t="s">
        <v>17</v>
      </c>
      <c r="D5" s="6" t="s">
        <v>1046</v>
      </c>
      <c r="E5" s="12" t="s">
        <v>1047</v>
      </c>
      <c r="F5" s="7" t="s">
        <v>479</v>
      </c>
      <c r="G5" s="12" t="s">
        <v>822</v>
      </c>
      <c r="H5" s="14" t="s">
        <v>823</v>
      </c>
      <c r="I5" s="21" t="s">
        <v>1055</v>
      </c>
      <c r="J5" s="16">
        <f>JG</f>
        <v>4</v>
      </c>
      <c r="K5" s="14">
        <v>2</v>
      </c>
      <c r="L5" s="16">
        <f t="shared" si="0"/>
        <v>8</v>
      </c>
      <c r="M5" s="16"/>
      <c r="N5" s="18">
        <f t="shared" si="1"/>
        <v>0</v>
      </c>
      <c r="O5" s="16"/>
      <c r="P5" s="18">
        <f t="shared" si="2"/>
        <v>0</v>
      </c>
      <c r="Q5" s="12"/>
    </row>
    <row r="6" spans="1:17" s="15" customFormat="1" ht="24">
      <c r="A6" s="12">
        <v>5</v>
      </c>
      <c r="B6" s="7" t="s">
        <v>109</v>
      </c>
      <c r="C6" s="5" t="s">
        <v>17</v>
      </c>
      <c r="D6" s="6" t="s">
        <v>1046</v>
      </c>
      <c r="E6" s="12" t="s">
        <v>1047</v>
      </c>
      <c r="F6" s="7" t="s">
        <v>479</v>
      </c>
      <c r="G6" s="12" t="s">
        <v>822</v>
      </c>
      <c r="H6" s="14" t="s">
        <v>823</v>
      </c>
      <c r="I6" s="21" t="s">
        <v>1056</v>
      </c>
      <c r="J6" s="16">
        <f>JG</f>
        <v>8</v>
      </c>
      <c r="K6" s="14">
        <v>2</v>
      </c>
      <c r="L6" s="16">
        <f t="shared" si="0"/>
        <v>16</v>
      </c>
      <c r="M6" s="16"/>
      <c r="N6" s="18">
        <f t="shared" si="1"/>
        <v>0</v>
      </c>
      <c r="O6" s="16"/>
      <c r="P6" s="18">
        <f t="shared" si="2"/>
        <v>0</v>
      </c>
      <c r="Q6" s="12"/>
    </row>
    <row r="7" spans="1:17" ht="24">
      <c r="A7" s="12">
        <v>6</v>
      </c>
      <c r="B7" s="7" t="s">
        <v>112</v>
      </c>
      <c r="C7" s="5" t="s">
        <v>17</v>
      </c>
      <c r="D7" s="1" t="s">
        <v>114</v>
      </c>
      <c r="E7" s="13" t="s">
        <v>827</v>
      </c>
      <c r="F7" s="2" t="s">
        <v>115</v>
      </c>
      <c r="G7" s="13" t="s">
        <v>822</v>
      </c>
      <c r="H7" s="14" t="s">
        <v>823</v>
      </c>
      <c r="I7" s="3" t="s">
        <v>1015</v>
      </c>
      <c r="J7" s="16">
        <f>JG</f>
        <v>4.2639999999999993</v>
      </c>
      <c r="K7" s="13">
        <v>4</v>
      </c>
      <c r="L7" s="16">
        <f t="shared" si="0"/>
        <v>17.055999999999997</v>
      </c>
      <c r="M7" s="16">
        <v>105</v>
      </c>
      <c r="N7" s="18">
        <f t="shared" si="1"/>
        <v>1.7908799999999996</v>
      </c>
      <c r="O7" s="16">
        <v>1.94</v>
      </c>
      <c r="P7" s="18">
        <f t="shared" si="2"/>
        <v>33.088639999999991</v>
      </c>
    </row>
    <row r="8" spans="1:17" ht="24">
      <c r="A8" s="12">
        <v>7</v>
      </c>
      <c r="B8" s="7" t="s">
        <v>109</v>
      </c>
      <c r="C8" s="5" t="s">
        <v>17</v>
      </c>
      <c r="D8" s="6" t="s">
        <v>1046</v>
      </c>
      <c r="E8" s="12" t="s">
        <v>1047</v>
      </c>
      <c r="F8" s="2" t="s">
        <v>1058</v>
      </c>
      <c r="G8" s="13" t="s">
        <v>822</v>
      </c>
      <c r="H8" s="14" t="s">
        <v>823</v>
      </c>
      <c r="I8" s="3">
        <v>1</v>
      </c>
      <c r="J8" s="16">
        <f>JG</f>
        <v>1</v>
      </c>
      <c r="K8" s="13">
        <v>4</v>
      </c>
      <c r="L8" s="16">
        <f t="shared" si="0"/>
        <v>4</v>
      </c>
      <c r="M8" s="16">
        <f>0.7*0.66*0.036*7850</f>
        <v>130.56119999999999</v>
      </c>
      <c r="N8" s="18">
        <f t="shared" si="1"/>
        <v>0.52224479999999995</v>
      </c>
      <c r="O8" s="16">
        <f>0.7*0.66</f>
        <v>0.46199999999999997</v>
      </c>
      <c r="P8" s="18">
        <f t="shared" si="2"/>
        <v>1.8479999999999999</v>
      </c>
    </row>
    <row r="9" spans="1:17" ht="24">
      <c r="A9" s="12">
        <v>8</v>
      </c>
      <c r="B9" s="7" t="s">
        <v>109</v>
      </c>
      <c r="C9" s="5" t="s">
        <v>17</v>
      </c>
      <c r="D9" s="6" t="s">
        <v>1046</v>
      </c>
      <c r="E9" s="12" t="s">
        <v>1047</v>
      </c>
      <c r="F9" s="7" t="s">
        <v>479</v>
      </c>
      <c r="G9" s="13" t="s">
        <v>822</v>
      </c>
      <c r="H9" s="14" t="s">
        <v>823</v>
      </c>
      <c r="I9" s="3">
        <v>2</v>
      </c>
      <c r="J9" s="16">
        <f>JG</f>
        <v>2</v>
      </c>
      <c r="K9" s="13">
        <v>4</v>
      </c>
      <c r="L9" s="16">
        <f t="shared" si="0"/>
        <v>8</v>
      </c>
      <c r="M9" s="16"/>
      <c r="N9" s="18">
        <f t="shared" si="1"/>
        <v>0</v>
      </c>
      <c r="O9" s="16"/>
      <c r="P9" s="18">
        <f t="shared" si="2"/>
        <v>0</v>
      </c>
    </row>
    <row r="10" spans="1:17" ht="24">
      <c r="A10" s="12">
        <v>9</v>
      </c>
      <c r="B10" s="7" t="s">
        <v>109</v>
      </c>
      <c r="C10" s="5" t="s">
        <v>17</v>
      </c>
      <c r="D10" s="6" t="s">
        <v>1046</v>
      </c>
      <c r="E10" s="12" t="s">
        <v>1047</v>
      </c>
      <c r="F10" s="7" t="s">
        <v>479</v>
      </c>
      <c r="G10" s="13" t="s">
        <v>822</v>
      </c>
      <c r="H10" s="14" t="s">
        <v>823</v>
      </c>
      <c r="I10" s="3">
        <v>4</v>
      </c>
      <c r="J10" s="16">
        <f>JG</f>
        <v>4</v>
      </c>
      <c r="K10" s="13">
        <v>4</v>
      </c>
      <c r="L10" s="16">
        <f t="shared" si="0"/>
        <v>16</v>
      </c>
      <c r="M10" s="16"/>
      <c r="N10" s="18">
        <f t="shared" si="1"/>
        <v>0</v>
      </c>
      <c r="O10" s="16"/>
      <c r="P10" s="18">
        <f t="shared" si="2"/>
        <v>0</v>
      </c>
    </row>
    <row r="11" spans="1:17" ht="24">
      <c r="A11" s="12">
        <v>10</v>
      </c>
      <c r="B11" s="7" t="s">
        <v>109</v>
      </c>
      <c r="C11" s="5" t="s">
        <v>17</v>
      </c>
      <c r="D11" s="6" t="s">
        <v>1046</v>
      </c>
      <c r="E11" s="12" t="s">
        <v>1047</v>
      </c>
      <c r="F11" s="7" t="s">
        <v>479</v>
      </c>
      <c r="G11" s="13" t="s">
        <v>822</v>
      </c>
      <c r="H11" s="14" t="s">
        <v>823</v>
      </c>
      <c r="I11" s="3">
        <v>8</v>
      </c>
      <c r="J11" s="16">
        <f>JG</f>
        <v>8</v>
      </c>
      <c r="K11" s="13">
        <v>4</v>
      </c>
      <c r="L11" s="16">
        <f t="shared" si="0"/>
        <v>32</v>
      </c>
      <c r="M11" s="16"/>
      <c r="N11" s="18">
        <f t="shared" si="1"/>
        <v>0</v>
      </c>
      <c r="O11" s="16"/>
      <c r="P11" s="18">
        <f t="shared" si="2"/>
        <v>0</v>
      </c>
    </row>
    <row r="12" spans="1:17" ht="24">
      <c r="A12" s="12">
        <v>11</v>
      </c>
      <c r="B12" s="7" t="s">
        <v>112</v>
      </c>
      <c r="C12" s="5" t="s">
        <v>17</v>
      </c>
      <c r="D12" s="1" t="s">
        <v>19</v>
      </c>
      <c r="E12" s="13" t="s">
        <v>827</v>
      </c>
      <c r="F12" s="2" t="s">
        <v>21</v>
      </c>
      <c r="G12" s="13" t="s">
        <v>822</v>
      </c>
      <c r="H12" s="14" t="s">
        <v>823</v>
      </c>
      <c r="I12" s="3" t="s">
        <v>1016</v>
      </c>
      <c r="J12" s="16">
        <f>JG</f>
        <v>7.7579999999999991</v>
      </c>
      <c r="K12" s="13">
        <v>10</v>
      </c>
      <c r="L12" s="16">
        <f t="shared" si="0"/>
        <v>77.579999999999984</v>
      </c>
      <c r="M12" s="16">
        <v>121</v>
      </c>
      <c r="N12" s="18">
        <f t="shared" si="1"/>
        <v>9.387179999999999</v>
      </c>
      <c r="O12" s="16">
        <v>2.04</v>
      </c>
      <c r="P12" s="18">
        <f t="shared" si="2"/>
        <v>158.26319999999998</v>
      </c>
    </row>
    <row r="13" spans="1:17" ht="24">
      <c r="A13" s="12">
        <v>12</v>
      </c>
      <c r="B13" s="7" t="s">
        <v>109</v>
      </c>
      <c r="C13" s="5" t="s">
        <v>17</v>
      </c>
      <c r="D13" s="6" t="s">
        <v>1046</v>
      </c>
      <c r="E13" s="12" t="s">
        <v>1047</v>
      </c>
      <c r="F13" s="2" t="s">
        <v>1060</v>
      </c>
      <c r="G13" s="13" t="s">
        <v>822</v>
      </c>
      <c r="H13" s="14" t="s">
        <v>823</v>
      </c>
      <c r="I13" s="3">
        <v>1</v>
      </c>
      <c r="J13" s="16">
        <f>JG</f>
        <v>1</v>
      </c>
      <c r="K13" s="13">
        <v>10</v>
      </c>
      <c r="L13" s="16">
        <f t="shared" si="0"/>
        <v>10</v>
      </c>
      <c r="M13" s="16">
        <f>0.78*0.75*0.042*7850</f>
        <v>192.87450000000001</v>
      </c>
      <c r="N13" s="18">
        <f t="shared" si="1"/>
        <v>1.9287450000000002</v>
      </c>
      <c r="O13" s="16">
        <f>0.78*0.75</f>
        <v>0.58499999999999996</v>
      </c>
      <c r="P13" s="18">
        <f t="shared" si="2"/>
        <v>5.85</v>
      </c>
    </row>
    <row r="14" spans="1:17" ht="24">
      <c r="A14" s="12">
        <v>13</v>
      </c>
      <c r="B14" s="7" t="s">
        <v>109</v>
      </c>
      <c r="C14" s="5" t="s">
        <v>17</v>
      </c>
      <c r="D14" s="6" t="s">
        <v>1046</v>
      </c>
      <c r="E14" s="12" t="s">
        <v>1047</v>
      </c>
      <c r="F14" s="7" t="s">
        <v>479</v>
      </c>
      <c r="G14" s="13" t="s">
        <v>822</v>
      </c>
      <c r="H14" s="14" t="s">
        <v>823</v>
      </c>
      <c r="I14" s="3">
        <v>2</v>
      </c>
      <c r="J14" s="16">
        <f>JG</f>
        <v>2</v>
      </c>
      <c r="K14" s="13">
        <v>10</v>
      </c>
      <c r="L14" s="16">
        <f t="shared" si="0"/>
        <v>20</v>
      </c>
      <c r="M14" s="16"/>
      <c r="N14" s="18">
        <f t="shared" si="1"/>
        <v>0</v>
      </c>
      <c r="O14" s="16"/>
      <c r="P14" s="18">
        <f t="shared" si="2"/>
        <v>0</v>
      </c>
    </row>
    <row r="15" spans="1:17" ht="24">
      <c r="A15" s="12">
        <v>14</v>
      </c>
      <c r="B15" s="7" t="s">
        <v>109</v>
      </c>
      <c r="C15" s="5" t="s">
        <v>17</v>
      </c>
      <c r="D15" s="6" t="s">
        <v>1046</v>
      </c>
      <c r="E15" s="12" t="s">
        <v>1047</v>
      </c>
      <c r="F15" s="7" t="s">
        <v>479</v>
      </c>
      <c r="G15" s="13" t="s">
        <v>822</v>
      </c>
      <c r="H15" s="14" t="s">
        <v>823</v>
      </c>
      <c r="I15" s="3">
        <v>4</v>
      </c>
      <c r="J15" s="16">
        <f>JG</f>
        <v>4</v>
      </c>
      <c r="K15" s="13">
        <v>10</v>
      </c>
      <c r="L15" s="16">
        <f t="shared" si="0"/>
        <v>40</v>
      </c>
      <c r="M15" s="16"/>
      <c r="N15" s="18">
        <f t="shared" si="1"/>
        <v>0</v>
      </c>
      <c r="O15" s="16"/>
      <c r="P15" s="18">
        <f t="shared" si="2"/>
        <v>0</v>
      </c>
    </row>
    <row r="16" spans="1:17" ht="24">
      <c r="A16" s="12">
        <v>15</v>
      </c>
      <c r="B16" s="7" t="s">
        <v>109</v>
      </c>
      <c r="C16" s="5" t="s">
        <v>17</v>
      </c>
      <c r="D16" s="6" t="s">
        <v>1046</v>
      </c>
      <c r="E16" s="12" t="s">
        <v>1047</v>
      </c>
      <c r="F16" s="7" t="s">
        <v>479</v>
      </c>
      <c r="G16" s="13" t="s">
        <v>822</v>
      </c>
      <c r="H16" s="14" t="s">
        <v>823</v>
      </c>
      <c r="I16" s="3">
        <v>8</v>
      </c>
      <c r="J16" s="16">
        <f>JG</f>
        <v>8</v>
      </c>
      <c r="K16" s="13">
        <v>10</v>
      </c>
      <c r="L16" s="16">
        <f t="shared" si="0"/>
        <v>80</v>
      </c>
      <c r="M16" s="16"/>
      <c r="N16" s="18">
        <f t="shared" si="1"/>
        <v>0</v>
      </c>
      <c r="O16" s="16"/>
      <c r="P16" s="18">
        <f t="shared" si="2"/>
        <v>0</v>
      </c>
    </row>
    <row r="17" spans="1:16" ht="24">
      <c r="A17" s="12">
        <v>16</v>
      </c>
      <c r="B17" s="7" t="s">
        <v>112</v>
      </c>
      <c r="C17" s="5" t="s">
        <v>17</v>
      </c>
      <c r="D17" s="1" t="s">
        <v>116</v>
      </c>
      <c r="E17" s="13" t="s">
        <v>827</v>
      </c>
      <c r="F17" s="2" t="s">
        <v>117</v>
      </c>
      <c r="G17" s="13" t="s">
        <v>822</v>
      </c>
      <c r="H17" s="14" t="s">
        <v>823</v>
      </c>
      <c r="I17" s="3" t="s">
        <v>1016</v>
      </c>
      <c r="J17" s="16">
        <f>JG</f>
        <v>7.7579999999999991</v>
      </c>
      <c r="K17" s="13">
        <v>15</v>
      </c>
      <c r="L17" s="16">
        <f t="shared" si="0"/>
        <v>116.36999999999999</v>
      </c>
      <c r="M17" s="16">
        <v>125</v>
      </c>
      <c r="N17" s="18">
        <f t="shared" si="1"/>
        <v>14.546249999999999</v>
      </c>
      <c r="O17" s="16">
        <v>2.13</v>
      </c>
      <c r="P17" s="18">
        <f t="shared" si="2"/>
        <v>247.86809999999997</v>
      </c>
    </row>
    <row r="18" spans="1:16" ht="24">
      <c r="A18" s="12">
        <v>17</v>
      </c>
      <c r="B18" s="7" t="s">
        <v>109</v>
      </c>
      <c r="C18" s="5" t="s">
        <v>17</v>
      </c>
      <c r="D18" s="6" t="s">
        <v>1046</v>
      </c>
      <c r="E18" s="12" t="s">
        <v>1047</v>
      </c>
      <c r="F18" s="2" t="s">
        <v>1061</v>
      </c>
      <c r="G18" s="13" t="s">
        <v>822</v>
      </c>
      <c r="H18" s="14" t="s">
        <v>823</v>
      </c>
      <c r="I18" s="3">
        <v>1</v>
      </c>
      <c r="J18" s="16">
        <f>JG</f>
        <v>1</v>
      </c>
      <c r="K18" s="13">
        <v>16</v>
      </c>
      <c r="L18" s="16">
        <f t="shared" si="0"/>
        <v>16</v>
      </c>
      <c r="M18" s="16">
        <f>0.84*0.75*0.042*7850</f>
        <v>207.71100000000001</v>
      </c>
      <c r="N18" s="18">
        <f t="shared" si="1"/>
        <v>3.3233760000000001</v>
      </c>
      <c r="O18" s="16">
        <f>0.84*0.75</f>
        <v>0.63</v>
      </c>
      <c r="P18" s="18">
        <f t="shared" si="2"/>
        <v>10.08</v>
      </c>
    </row>
    <row r="19" spans="1:16" ht="24">
      <c r="A19" s="12">
        <v>18</v>
      </c>
      <c r="B19" s="7" t="s">
        <v>109</v>
      </c>
      <c r="C19" s="5" t="s">
        <v>17</v>
      </c>
      <c r="D19" s="6" t="s">
        <v>1046</v>
      </c>
      <c r="E19" s="12" t="s">
        <v>1047</v>
      </c>
      <c r="F19" s="7" t="s">
        <v>479</v>
      </c>
      <c r="G19" s="13" t="s">
        <v>822</v>
      </c>
      <c r="H19" s="14" t="s">
        <v>823</v>
      </c>
      <c r="I19" s="3">
        <v>2</v>
      </c>
      <c r="J19" s="16">
        <f>JG</f>
        <v>2</v>
      </c>
      <c r="K19" s="13">
        <v>17</v>
      </c>
      <c r="L19" s="16">
        <f t="shared" si="0"/>
        <v>34</v>
      </c>
      <c r="M19" s="16"/>
      <c r="N19" s="18">
        <f t="shared" si="1"/>
        <v>0</v>
      </c>
      <c r="O19" s="16"/>
      <c r="P19" s="18">
        <f t="shared" si="2"/>
        <v>0</v>
      </c>
    </row>
    <row r="20" spans="1:16" ht="24">
      <c r="A20" s="12">
        <v>19</v>
      </c>
      <c r="B20" s="7" t="s">
        <v>109</v>
      </c>
      <c r="C20" s="5" t="s">
        <v>17</v>
      </c>
      <c r="D20" s="6" t="s">
        <v>1046</v>
      </c>
      <c r="E20" s="12" t="s">
        <v>1047</v>
      </c>
      <c r="F20" s="7" t="s">
        <v>479</v>
      </c>
      <c r="G20" s="13" t="s">
        <v>822</v>
      </c>
      <c r="H20" s="14" t="s">
        <v>823</v>
      </c>
      <c r="I20" s="3">
        <v>4</v>
      </c>
      <c r="J20" s="16">
        <f>JG</f>
        <v>4</v>
      </c>
      <c r="K20" s="13">
        <v>18</v>
      </c>
      <c r="L20" s="16">
        <f t="shared" si="0"/>
        <v>72</v>
      </c>
      <c r="M20" s="16"/>
      <c r="N20" s="18">
        <f t="shared" si="1"/>
        <v>0</v>
      </c>
      <c r="O20" s="16"/>
      <c r="P20" s="18">
        <f t="shared" si="2"/>
        <v>0</v>
      </c>
    </row>
    <row r="21" spans="1:16" ht="24">
      <c r="A21" s="12">
        <v>20</v>
      </c>
      <c r="B21" s="7" t="s">
        <v>109</v>
      </c>
      <c r="C21" s="5" t="s">
        <v>17</v>
      </c>
      <c r="D21" s="6" t="s">
        <v>1046</v>
      </c>
      <c r="E21" s="12" t="s">
        <v>1047</v>
      </c>
      <c r="F21" s="7" t="s">
        <v>479</v>
      </c>
      <c r="G21" s="13" t="s">
        <v>822</v>
      </c>
      <c r="H21" s="14" t="s">
        <v>823</v>
      </c>
      <c r="I21" s="3">
        <v>8</v>
      </c>
      <c r="J21" s="16">
        <f>JG</f>
        <v>8</v>
      </c>
      <c r="K21" s="13">
        <v>19</v>
      </c>
      <c r="L21" s="16">
        <f t="shared" si="0"/>
        <v>152</v>
      </c>
      <c r="M21" s="16"/>
      <c r="N21" s="18">
        <f t="shared" si="1"/>
        <v>0</v>
      </c>
      <c r="O21" s="16"/>
      <c r="P21" s="18">
        <f t="shared" si="2"/>
        <v>0</v>
      </c>
    </row>
    <row r="22" spans="1:16" ht="24">
      <c r="A22" s="12">
        <v>21</v>
      </c>
      <c r="B22" s="7" t="s">
        <v>112</v>
      </c>
      <c r="C22" s="5" t="s">
        <v>17</v>
      </c>
      <c r="D22" s="1" t="s">
        <v>118</v>
      </c>
      <c r="E22" s="13" t="s">
        <v>827</v>
      </c>
      <c r="F22" s="2" t="s">
        <v>119</v>
      </c>
      <c r="G22" s="13" t="s">
        <v>822</v>
      </c>
      <c r="H22" s="14" t="s">
        <v>823</v>
      </c>
      <c r="I22" s="3" t="s">
        <v>1016</v>
      </c>
      <c r="J22" s="16">
        <f>JG</f>
        <v>7.7579999999999991</v>
      </c>
      <c r="K22" s="13">
        <v>12</v>
      </c>
      <c r="L22" s="16">
        <f t="shared" si="0"/>
        <v>93.095999999999989</v>
      </c>
      <c r="M22" s="16">
        <v>147</v>
      </c>
      <c r="N22" s="18">
        <f t="shared" si="1"/>
        <v>13.685112</v>
      </c>
      <c r="O22" s="16">
        <v>2.33</v>
      </c>
      <c r="P22" s="18">
        <f t="shared" si="2"/>
        <v>216.91367999999997</v>
      </c>
    </row>
    <row r="23" spans="1:16" ht="24">
      <c r="A23" s="12">
        <v>22</v>
      </c>
      <c r="B23" s="7" t="s">
        <v>112</v>
      </c>
      <c r="C23" s="5" t="s">
        <v>17</v>
      </c>
      <c r="D23" s="1" t="s">
        <v>118</v>
      </c>
      <c r="E23" s="13" t="s">
        <v>827</v>
      </c>
      <c r="F23" s="2" t="s">
        <v>119</v>
      </c>
      <c r="G23" s="13" t="s">
        <v>822</v>
      </c>
      <c r="H23" s="14" t="s">
        <v>823</v>
      </c>
      <c r="I23" s="3" t="s">
        <v>1017</v>
      </c>
      <c r="J23" s="16">
        <f>JG</f>
        <v>4.2579999999999991</v>
      </c>
      <c r="K23" s="13">
        <v>4</v>
      </c>
      <c r="L23" s="16">
        <f t="shared" si="0"/>
        <v>17.031999999999996</v>
      </c>
      <c r="M23" s="16">
        <v>147</v>
      </c>
      <c r="N23" s="18">
        <f t="shared" si="1"/>
        <v>2.5037039999999995</v>
      </c>
      <c r="O23" s="16">
        <v>2.33</v>
      </c>
      <c r="P23" s="18">
        <f t="shared" si="2"/>
        <v>39.684559999999991</v>
      </c>
    </row>
    <row r="24" spans="1:16" ht="24">
      <c r="A24" s="12">
        <v>23</v>
      </c>
      <c r="B24" s="7" t="s">
        <v>109</v>
      </c>
      <c r="C24" s="5" t="s">
        <v>17</v>
      </c>
      <c r="D24" s="6" t="s">
        <v>1046</v>
      </c>
      <c r="E24" s="12" t="s">
        <v>1047</v>
      </c>
      <c r="F24" s="2" t="s">
        <v>1062</v>
      </c>
      <c r="G24" s="13" t="s">
        <v>822</v>
      </c>
      <c r="H24" s="14" t="s">
        <v>823</v>
      </c>
      <c r="I24" s="3">
        <v>1</v>
      </c>
      <c r="J24" s="16">
        <f>JG</f>
        <v>1</v>
      </c>
      <c r="K24" s="13">
        <v>5</v>
      </c>
      <c r="L24" s="16">
        <f t="shared" ref="L24:L27" si="3">J24*K24</f>
        <v>5</v>
      </c>
      <c r="M24" s="16">
        <f>0.94*0.75*0.042*7850</f>
        <v>232.4385</v>
      </c>
      <c r="N24" s="18">
        <f t="shared" si="1"/>
        <v>1.1621925000000002</v>
      </c>
      <c r="O24" s="16">
        <f>0.94*0.75</f>
        <v>0.70499999999999996</v>
      </c>
      <c r="P24" s="18">
        <f t="shared" si="2"/>
        <v>3.5249999999999999</v>
      </c>
    </row>
    <row r="25" spans="1:16" ht="24">
      <c r="A25" s="12">
        <v>24</v>
      </c>
      <c r="B25" s="7" t="s">
        <v>109</v>
      </c>
      <c r="C25" s="5" t="s">
        <v>17</v>
      </c>
      <c r="D25" s="6" t="s">
        <v>1046</v>
      </c>
      <c r="E25" s="12" t="s">
        <v>1047</v>
      </c>
      <c r="F25" s="7" t="s">
        <v>479</v>
      </c>
      <c r="G25" s="13" t="s">
        <v>822</v>
      </c>
      <c r="H25" s="14" t="s">
        <v>823</v>
      </c>
      <c r="I25" s="3">
        <v>2</v>
      </c>
      <c r="J25" s="16">
        <f>JG</f>
        <v>2</v>
      </c>
      <c r="K25" s="13">
        <v>6</v>
      </c>
      <c r="L25" s="16">
        <f t="shared" si="3"/>
        <v>12</v>
      </c>
      <c r="M25" s="16"/>
      <c r="N25" s="18">
        <f t="shared" si="1"/>
        <v>0</v>
      </c>
      <c r="O25" s="16"/>
      <c r="P25" s="18">
        <f t="shared" si="2"/>
        <v>0</v>
      </c>
    </row>
    <row r="26" spans="1:16" ht="24">
      <c r="A26" s="12">
        <v>25</v>
      </c>
      <c r="B26" s="7" t="s">
        <v>109</v>
      </c>
      <c r="C26" s="5" t="s">
        <v>17</v>
      </c>
      <c r="D26" s="6" t="s">
        <v>1046</v>
      </c>
      <c r="E26" s="12" t="s">
        <v>1047</v>
      </c>
      <c r="F26" s="7" t="s">
        <v>479</v>
      </c>
      <c r="G26" s="13" t="s">
        <v>822</v>
      </c>
      <c r="H26" s="14" t="s">
        <v>823</v>
      </c>
      <c r="I26" s="3">
        <v>4</v>
      </c>
      <c r="J26" s="16">
        <f>JG</f>
        <v>4</v>
      </c>
      <c r="K26" s="13">
        <v>7</v>
      </c>
      <c r="L26" s="16">
        <f t="shared" si="3"/>
        <v>28</v>
      </c>
      <c r="M26" s="16"/>
      <c r="N26" s="18">
        <f t="shared" si="1"/>
        <v>0</v>
      </c>
      <c r="O26" s="16"/>
      <c r="P26" s="18">
        <f t="shared" si="2"/>
        <v>0</v>
      </c>
    </row>
    <row r="27" spans="1:16" ht="24">
      <c r="A27" s="12">
        <v>26</v>
      </c>
      <c r="B27" s="7" t="s">
        <v>109</v>
      </c>
      <c r="C27" s="5" t="s">
        <v>17</v>
      </c>
      <c r="D27" s="6" t="s">
        <v>1046</v>
      </c>
      <c r="E27" s="12" t="s">
        <v>1047</v>
      </c>
      <c r="F27" s="7" t="s">
        <v>479</v>
      </c>
      <c r="G27" s="13" t="s">
        <v>822</v>
      </c>
      <c r="H27" s="14" t="s">
        <v>823</v>
      </c>
      <c r="I27" s="3">
        <v>8</v>
      </c>
      <c r="J27" s="16">
        <f>JG</f>
        <v>8</v>
      </c>
      <c r="K27" s="13">
        <v>8</v>
      </c>
      <c r="L27" s="16">
        <f t="shared" si="3"/>
        <v>64</v>
      </c>
      <c r="M27" s="16"/>
      <c r="N27" s="18">
        <f t="shared" si="1"/>
        <v>0</v>
      </c>
      <c r="O27" s="16"/>
      <c r="P27" s="18">
        <f t="shared" si="2"/>
        <v>0</v>
      </c>
    </row>
    <row r="28" spans="1:16" ht="24">
      <c r="A28" s="12">
        <v>27</v>
      </c>
      <c r="B28" s="7" t="s">
        <v>112</v>
      </c>
      <c r="C28" s="5" t="s">
        <v>17</v>
      </c>
      <c r="D28" s="1" t="s">
        <v>122</v>
      </c>
      <c r="E28" s="13" t="s">
        <v>827</v>
      </c>
      <c r="F28" s="2" t="s">
        <v>123</v>
      </c>
      <c r="G28" s="13" t="s">
        <v>822</v>
      </c>
      <c r="H28" s="14" t="s">
        <v>823</v>
      </c>
      <c r="I28" s="3" t="s">
        <v>1016</v>
      </c>
      <c r="J28" s="16">
        <f>JG</f>
        <v>7.7579999999999991</v>
      </c>
      <c r="K28" s="13">
        <v>6</v>
      </c>
      <c r="L28" s="16">
        <f t="shared" si="0"/>
        <v>46.547999999999995</v>
      </c>
      <c r="M28" s="16">
        <f>((0.6-0.03*2)*0.02+0.4*0.03*2)*7850</f>
        <v>273.18</v>
      </c>
      <c r="N28" s="18">
        <f t="shared" si="1"/>
        <v>12.715982639999998</v>
      </c>
      <c r="O28" s="16">
        <f>0.6*2+0.4*4-0.02*2</f>
        <v>2.76</v>
      </c>
      <c r="P28" s="18">
        <f t="shared" si="2"/>
        <v>128.47247999999996</v>
      </c>
    </row>
    <row r="29" spans="1:16" ht="24">
      <c r="A29" s="12">
        <v>28</v>
      </c>
      <c r="B29" s="7" t="s">
        <v>109</v>
      </c>
      <c r="C29" s="5" t="s">
        <v>17</v>
      </c>
      <c r="D29" s="6" t="s">
        <v>1046</v>
      </c>
      <c r="E29" s="12" t="s">
        <v>1047</v>
      </c>
      <c r="F29" s="7" t="s">
        <v>1063</v>
      </c>
      <c r="G29" s="12" t="s">
        <v>822</v>
      </c>
      <c r="H29" s="14" t="s">
        <v>823</v>
      </c>
      <c r="I29" s="8" t="s">
        <v>1051</v>
      </c>
      <c r="J29" s="16">
        <f>JG</f>
        <v>1</v>
      </c>
      <c r="K29" s="14">
        <v>53</v>
      </c>
      <c r="L29" s="16">
        <f t="shared" si="0"/>
        <v>53</v>
      </c>
      <c r="M29" s="16">
        <f>0.95*0.98*0.042*7850</f>
        <v>306.95069999999998</v>
      </c>
      <c r="N29" s="18">
        <f t="shared" si="1"/>
        <v>16.268387100000002</v>
      </c>
      <c r="O29" s="16">
        <f>0.95*0.98</f>
        <v>0.93099999999999994</v>
      </c>
      <c r="P29" s="18">
        <f t="shared" si="2"/>
        <v>49.342999999999996</v>
      </c>
    </row>
    <row r="30" spans="1:16" ht="24">
      <c r="A30" s="12">
        <v>29</v>
      </c>
      <c r="B30" s="7" t="s">
        <v>109</v>
      </c>
      <c r="C30" s="5" t="s">
        <v>17</v>
      </c>
      <c r="D30" s="6" t="s">
        <v>1046</v>
      </c>
      <c r="E30" s="12" t="s">
        <v>1047</v>
      </c>
      <c r="F30" s="7" t="s">
        <v>51</v>
      </c>
      <c r="G30" s="12" t="s">
        <v>822</v>
      </c>
      <c r="H30" s="14" t="s">
        <v>823</v>
      </c>
      <c r="I30" s="8" t="s">
        <v>1053</v>
      </c>
      <c r="J30" s="16">
        <f>JG</f>
        <v>2</v>
      </c>
      <c r="K30" s="14">
        <v>54</v>
      </c>
      <c r="L30" s="16">
        <f t="shared" ref="L30:L32" si="4">J30*K30</f>
        <v>108</v>
      </c>
      <c r="M30" s="16"/>
      <c r="N30" s="18">
        <f t="shared" ref="N30:N32" si="5">L30*M30*0.001</f>
        <v>0</v>
      </c>
      <c r="O30" s="16"/>
      <c r="P30" s="18">
        <f t="shared" ref="P30:P32" si="6">O30*L30</f>
        <v>0</v>
      </c>
    </row>
    <row r="31" spans="1:16" ht="24">
      <c r="A31" s="12">
        <v>30</v>
      </c>
      <c r="B31" s="7" t="s">
        <v>109</v>
      </c>
      <c r="C31" s="5" t="s">
        <v>17</v>
      </c>
      <c r="D31" s="6" t="s">
        <v>1046</v>
      </c>
      <c r="E31" s="12" t="s">
        <v>1047</v>
      </c>
      <c r="F31" s="7" t="s">
        <v>51</v>
      </c>
      <c r="G31" s="12" t="s">
        <v>822</v>
      </c>
      <c r="H31" s="14" t="s">
        <v>823</v>
      </c>
      <c r="I31" s="8" t="s">
        <v>1055</v>
      </c>
      <c r="J31" s="16">
        <f>JG</f>
        <v>4</v>
      </c>
      <c r="K31" s="14">
        <v>55</v>
      </c>
      <c r="L31" s="16">
        <f t="shared" si="4"/>
        <v>220</v>
      </c>
      <c r="M31" s="16"/>
      <c r="N31" s="18">
        <f t="shared" si="5"/>
        <v>0</v>
      </c>
      <c r="O31" s="16"/>
      <c r="P31" s="18">
        <f t="shared" si="6"/>
        <v>0</v>
      </c>
    </row>
    <row r="32" spans="1:16" ht="24">
      <c r="A32" s="12">
        <v>31</v>
      </c>
      <c r="B32" s="7" t="s">
        <v>109</v>
      </c>
      <c r="C32" s="5" t="s">
        <v>17</v>
      </c>
      <c r="D32" s="6" t="s">
        <v>1046</v>
      </c>
      <c r="E32" s="12" t="s">
        <v>1047</v>
      </c>
      <c r="F32" s="7" t="s">
        <v>51</v>
      </c>
      <c r="G32" s="12" t="s">
        <v>822</v>
      </c>
      <c r="H32" s="14" t="s">
        <v>823</v>
      </c>
      <c r="I32" s="8" t="s">
        <v>1064</v>
      </c>
      <c r="J32" s="16">
        <f>JG</f>
        <v>10</v>
      </c>
      <c r="K32" s="14">
        <v>56</v>
      </c>
      <c r="L32" s="16">
        <f t="shared" si="4"/>
        <v>560</v>
      </c>
      <c r="M32" s="16"/>
      <c r="N32" s="18">
        <f t="shared" si="5"/>
        <v>0</v>
      </c>
      <c r="O32" s="16"/>
      <c r="P32" s="18">
        <f t="shared" si="6"/>
        <v>0</v>
      </c>
    </row>
    <row r="33" spans="1:16" ht="24">
      <c r="A33" s="12">
        <v>32</v>
      </c>
      <c r="B33" s="2" t="s">
        <v>170</v>
      </c>
      <c r="C33" s="2" t="s">
        <v>125</v>
      </c>
      <c r="D33" s="1" t="s">
        <v>126</v>
      </c>
      <c r="E33" s="13" t="s">
        <v>827</v>
      </c>
      <c r="F33" s="2" t="s">
        <v>127</v>
      </c>
      <c r="G33" s="13" t="s">
        <v>822</v>
      </c>
      <c r="H33" s="14" t="s">
        <v>823</v>
      </c>
      <c r="I33" s="3" t="s">
        <v>128</v>
      </c>
      <c r="J33" s="16">
        <f>JG</f>
        <v>8.75</v>
      </c>
      <c r="K33" s="13">
        <v>44</v>
      </c>
      <c r="L33" s="16">
        <f t="shared" si="0"/>
        <v>385</v>
      </c>
      <c r="M33" s="16">
        <v>78.099999999999994</v>
      </c>
      <c r="N33" s="18">
        <f t="shared" si="1"/>
        <v>30.068499999999997</v>
      </c>
      <c r="O33" s="16">
        <v>1.64</v>
      </c>
      <c r="P33" s="18">
        <f t="shared" si="2"/>
        <v>631.4</v>
      </c>
    </row>
    <row r="34" spans="1:16" ht="24">
      <c r="A34" s="12">
        <v>33</v>
      </c>
      <c r="B34" s="2" t="s">
        <v>170</v>
      </c>
      <c r="C34" s="2" t="s">
        <v>125</v>
      </c>
      <c r="D34" s="1" t="s">
        <v>126</v>
      </c>
      <c r="E34" s="13" t="s">
        <v>827</v>
      </c>
      <c r="F34" s="2" t="s">
        <v>127</v>
      </c>
      <c r="G34" s="13" t="s">
        <v>822</v>
      </c>
      <c r="H34" s="14" t="s">
        <v>823</v>
      </c>
      <c r="I34" s="3" t="s">
        <v>129</v>
      </c>
      <c r="J34" s="16">
        <f>JG</f>
        <v>8.6999999999999993</v>
      </c>
      <c r="K34" s="13">
        <v>3</v>
      </c>
      <c r="L34" s="16">
        <f t="shared" si="0"/>
        <v>26.099999999999998</v>
      </c>
      <c r="M34" s="16">
        <v>78.099999999999994</v>
      </c>
      <c r="N34" s="18">
        <f t="shared" si="1"/>
        <v>2.0384099999999998</v>
      </c>
      <c r="O34" s="16">
        <v>1.64</v>
      </c>
      <c r="P34" s="18">
        <f t="shared" si="2"/>
        <v>42.803999999999995</v>
      </c>
    </row>
    <row r="35" spans="1:16" ht="24">
      <c r="A35" s="12">
        <v>34</v>
      </c>
      <c r="B35" s="2" t="s">
        <v>170</v>
      </c>
      <c r="C35" s="2" t="s">
        <v>125</v>
      </c>
      <c r="D35" s="1" t="s">
        <v>126</v>
      </c>
      <c r="E35" s="13" t="s">
        <v>827</v>
      </c>
      <c r="F35" s="2" t="s">
        <v>127</v>
      </c>
      <c r="G35" s="13" t="s">
        <v>822</v>
      </c>
      <c r="H35" s="14" t="s">
        <v>823</v>
      </c>
      <c r="I35" s="3" t="s">
        <v>129</v>
      </c>
      <c r="J35" s="16">
        <f>JG</f>
        <v>8.6999999999999993</v>
      </c>
      <c r="K35" s="13">
        <v>3</v>
      </c>
      <c r="L35" s="16">
        <f t="shared" si="0"/>
        <v>26.099999999999998</v>
      </c>
      <c r="M35" s="16">
        <v>78.099999999999994</v>
      </c>
      <c r="N35" s="18">
        <f t="shared" si="1"/>
        <v>2.0384099999999998</v>
      </c>
      <c r="O35" s="16">
        <v>1.64</v>
      </c>
      <c r="P35" s="18">
        <f t="shared" si="2"/>
        <v>42.803999999999995</v>
      </c>
    </row>
    <row r="36" spans="1:16" ht="24">
      <c r="A36" s="12">
        <v>35</v>
      </c>
      <c r="B36" s="2" t="s">
        <v>170</v>
      </c>
      <c r="C36" s="2" t="s">
        <v>125</v>
      </c>
      <c r="D36" s="1" t="s">
        <v>130</v>
      </c>
      <c r="E36" s="13" t="s">
        <v>828</v>
      </c>
      <c r="F36" s="2" t="s">
        <v>131</v>
      </c>
      <c r="G36" s="13" t="s">
        <v>822</v>
      </c>
      <c r="H36" s="14" t="s">
        <v>823</v>
      </c>
      <c r="I36" s="3" t="s">
        <v>132</v>
      </c>
      <c r="J36" s="16">
        <f>JG</f>
        <v>160</v>
      </c>
      <c r="K36" s="13">
        <v>1</v>
      </c>
      <c r="L36" s="16">
        <f t="shared" si="0"/>
        <v>160</v>
      </c>
      <c r="M36" s="16">
        <f>0.12*0.312*0.09*7850</f>
        <v>26.451360000000001</v>
      </c>
      <c r="N36" s="18">
        <f t="shared" si="1"/>
        <v>4.2322176000000002</v>
      </c>
      <c r="O36" s="16">
        <f>0.12*2*0.312</f>
        <v>7.4880000000000002E-2</v>
      </c>
      <c r="P36" s="18">
        <f t="shared" si="2"/>
        <v>11.9808</v>
      </c>
    </row>
    <row r="37" spans="1:16" ht="24">
      <c r="A37" s="12">
        <v>36</v>
      </c>
      <c r="B37" s="2" t="s">
        <v>170</v>
      </c>
      <c r="C37" s="2" t="s">
        <v>125</v>
      </c>
      <c r="D37" s="1" t="s">
        <v>130</v>
      </c>
      <c r="E37" s="13" t="s">
        <v>828</v>
      </c>
      <c r="F37" s="2" t="s">
        <v>133</v>
      </c>
      <c r="G37" s="13" t="s">
        <v>822</v>
      </c>
      <c r="H37" s="14" t="s">
        <v>823</v>
      </c>
      <c r="I37" s="3" t="s">
        <v>134</v>
      </c>
      <c r="J37" s="16">
        <f>JG</f>
        <v>12</v>
      </c>
      <c r="K37" s="13">
        <v>1</v>
      </c>
      <c r="L37" s="16">
        <f t="shared" si="0"/>
        <v>12</v>
      </c>
      <c r="M37" s="16">
        <f>0.145*0.358*0.009*7850</f>
        <v>3.6674414999999989</v>
      </c>
      <c r="N37" s="18">
        <f t="shared" si="1"/>
        <v>4.4009297999999988E-2</v>
      </c>
      <c r="O37" s="16">
        <f>0.145*2*0.358</f>
        <v>0.10381999999999998</v>
      </c>
      <c r="P37" s="18">
        <f t="shared" si="2"/>
        <v>1.2458399999999998</v>
      </c>
    </row>
    <row r="38" spans="1:16" ht="24">
      <c r="A38" s="12">
        <v>37</v>
      </c>
      <c r="B38" s="2" t="s">
        <v>170</v>
      </c>
      <c r="C38" s="2" t="s">
        <v>125</v>
      </c>
      <c r="D38" s="1" t="s">
        <v>130</v>
      </c>
      <c r="E38" s="13" t="s">
        <v>828</v>
      </c>
      <c r="F38" s="2" t="s">
        <v>135</v>
      </c>
      <c r="G38" s="13" t="s">
        <v>822</v>
      </c>
      <c r="H38" s="14" t="s">
        <v>823</v>
      </c>
      <c r="I38" s="3" t="s">
        <v>134</v>
      </c>
      <c r="J38" s="16">
        <f>JG</f>
        <v>12</v>
      </c>
      <c r="K38" s="13">
        <v>1</v>
      </c>
      <c r="L38" s="16">
        <f t="shared" si="0"/>
        <v>12</v>
      </c>
      <c r="M38" s="16">
        <f>0.144*0.404*0.009*7850</f>
        <v>4.1101343999999989</v>
      </c>
      <c r="N38" s="18">
        <f t="shared" si="1"/>
        <v>4.9321612799999984E-2</v>
      </c>
      <c r="O38" s="16">
        <f>0.144*2*0.404</f>
        <v>0.116352</v>
      </c>
      <c r="P38" s="18">
        <f t="shared" si="2"/>
        <v>1.3962239999999999</v>
      </c>
    </row>
    <row r="39" spans="1:16" ht="36">
      <c r="A39" s="12">
        <v>38</v>
      </c>
      <c r="B39" s="2" t="s">
        <v>170</v>
      </c>
      <c r="C39" s="2" t="s">
        <v>124</v>
      </c>
      <c r="D39" s="1" t="s">
        <v>95</v>
      </c>
      <c r="E39" s="13" t="s">
        <v>827</v>
      </c>
      <c r="F39" s="2" t="s">
        <v>96</v>
      </c>
      <c r="G39" s="13" t="s">
        <v>822</v>
      </c>
      <c r="H39" s="14" t="s">
        <v>823</v>
      </c>
      <c r="I39" s="3" t="s">
        <v>142</v>
      </c>
      <c r="J39" s="16">
        <f>JG</f>
        <v>323.60000000000002</v>
      </c>
      <c r="K39" s="13">
        <v>1</v>
      </c>
      <c r="L39" s="16">
        <f t="shared" si="0"/>
        <v>323.60000000000002</v>
      </c>
      <c r="M39" s="16">
        <v>78.099999999999994</v>
      </c>
      <c r="N39" s="18">
        <f t="shared" si="1"/>
        <v>25.273160000000001</v>
      </c>
      <c r="O39" s="16">
        <v>1.64</v>
      </c>
      <c r="P39" s="18">
        <f t="shared" si="2"/>
        <v>530.70399999999995</v>
      </c>
    </row>
    <row r="40" spans="1:16" ht="24">
      <c r="A40" s="12">
        <v>39</v>
      </c>
      <c r="B40" s="2" t="s">
        <v>170</v>
      </c>
      <c r="C40" s="2" t="s">
        <v>125</v>
      </c>
      <c r="D40" s="1" t="s">
        <v>136</v>
      </c>
      <c r="E40" s="13" t="s">
        <v>827</v>
      </c>
      <c r="F40" s="2" t="s">
        <v>127</v>
      </c>
      <c r="G40" s="13" t="s">
        <v>822</v>
      </c>
      <c r="H40" s="14" t="s">
        <v>823</v>
      </c>
      <c r="I40" s="3" t="s">
        <v>137</v>
      </c>
      <c r="J40" s="16">
        <f>JG</f>
        <v>8.56</v>
      </c>
      <c r="K40" s="13">
        <v>5</v>
      </c>
      <c r="L40" s="16">
        <f t="shared" si="0"/>
        <v>42.800000000000004</v>
      </c>
      <c r="M40" s="16">
        <v>78.099999999999994</v>
      </c>
      <c r="N40" s="18">
        <f t="shared" si="1"/>
        <v>3.3426800000000005</v>
      </c>
      <c r="O40" s="16">
        <v>1.64</v>
      </c>
      <c r="P40" s="18">
        <f t="shared" si="2"/>
        <v>70.192000000000007</v>
      </c>
    </row>
    <row r="41" spans="1:16" ht="24">
      <c r="A41" s="12">
        <v>40</v>
      </c>
      <c r="B41" s="2" t="s">
        <v>170</v>
      </c>
      <c r="C41" s="2" t="s">
        <v>125</v>
      </c>
      <c r="D41" s="1" t="s">
        <v>136</v>
      </c>
      <c r="E41" s="13" t="s">
        <v>827</v>
      </c>
      <c r="F41" s="2" t="s">
        <v>127</v>
      </c>
      <c r="G41" s="13" t="s">
        <v>822</v>
      </c>
      <c r="H41" s="14" t="s">
        <v>823</v>
      </c>
      <c r="I41" s="3" t="s">
        <v>138</v>
      </c>
      <c r="J41" s="16">
        <f>JG</f>
        <v>8.5120000000000005</v>
      </c>
      <c r="K41" s="13">
        <v>7</v>
      </c>
      <c r="L41" s="16">
        <f t="shared" si="0"/>
        <v>59.584000000000003</v>
      </c>
      <c r="M41" s="16">
        <v>78.099999999999994</v>
      </c>
      <c r="N41" s="18">
        <f t="shared" si="1"/>
        <v>4.6535104</v>
      </c>
      <c r="O41" s="16">
        <v>1.64</v>
      </c>
      <c r="P41" s="18">
        <f t="shared" si="2"/>
        <v>97.717759999999998</v>
      </c>
    </row>
    <row r="42" spans="1:16" ht="24">
      <c r="A42" s="12">
        <v>41</v>
      </c>
      <c r="B42" s="2" t="s">
        <v>170</v>
      </c>
      <c r="C42" s="2" t="s">
        <v>125</v>
      </c>
      <c r="D42" s="1" t="s">
        <v>136</v>
      </c>
      <c r="E42" s="13" t="s">
        <v>827</v>
      </c>
      <c r="F42" s="2" t="s">
        <v>127</v>
      </c>
      <c r="G42" s="13" t="s">
        <v>822</v>
      </c>
      <c r="H42" s="14" t="s">
        <v>823</v>
      </c>
      <c r="I42" s="3" t="s">
        <v>139</v>
      </c>
      <c r="J42" s="16">
        <f>JG</f>
        <v>8.4120000000000008</v>
      </c>
      <c r="K42" s="13">
        <v>6</v>
      </c>
      <c r="L42" s="16">
        <f t="shared" si="0"/>
        <v>50.472000000000008</v>
      </c>
      <c r="M42" s="16">
        <v>78.099999999999994</v>
      </c>
      <c r="N42" s="18">
        <f t="shared" si="1"/>
        <v>3.9418632000000002</v>
      </c>
      <c r="O42" s="16">
        <v>1.64</v>
      </c>
      <c r="P42" s="18">
        <f t="shared" si="2"/>
        <v>82.774080000000012</v>
      </c>
    </row>
    <row r="43" spans="1:16" ht="24">
      <c r="A43" s="12">
        <v>42</v>
      </c>
      <c r="B43" s="2" t="s">
        <v>170</v>
      </c>
      <c r="C43" s="2" t="s">
        <v>125</v>
      </c>
      <c r="D43" s="1" t="s">
        <v>136</v>
      </c>
      <c r="E43" s="13" t="s">
        <v>827</v>
      </c>
      <c r="F43" s="2" t="s">
        <v>127</v>
      </c>
      <c r="G43" s="13" t="s">
        <v>822</v>
      </c>
      <c r="H43" s="14" t="s">
        <v>823</v>
      </c>
      <c r="I43" s="3" t="s">
        <v>140</v>
      </c>
      <c r="J43" s="16">
        <f>JG</f>
        <v>8.4619999999999997</v>
      </c>
      <c r="K43" s="13">
        <v>1</v>
      </c>
      <c r="L43" s="16">
        <f t="shared" si="0"/>
        <v>8.4619999999999997</v>
      </c>
      <c r="M43" s="16">
        <v>78.099999999999994</v>
      </c>
      <c r="N43" s="18">
        <f t="shared" si="1"/>
        <v>0.66088219999999986</v>
      </c>
      <c r="O43" s="16">
        <v>1.64</v>
      </c>
      <c r="P43" s="18">
        <f t="shared" si="2"/>
        <v>13.877679999999998</v>
      </c>
    </row>
    <row r="44" spans="1:16" ht="24">
      <c r="A44" s="12">
        <v>43</v>
      </c>
      <c r="B44" s="2" t="s">
        <v>170</v>
      </c>
      <c r="C44" s="2" t="s">
        <v>125</v>
      </c>
      <c r="D44" s="1" t="s">
        <v>136</v>
      </c>
      <c r="E44" s="13" t="s">
        <v>827</v>
      </c>
      <c r="F44" s="2" t="s">
        <v>127</v>
      </c>
      <c r="G44" s="13" t="s">
        <v>822</v>
      </c>
      <c r="H44" s="14" t="s">
        <v>823</v>
      </c>
      <c r="I44" s="3" t="s">
        <v>141</v>
      </c>
      <c r="J44" s="16">
        <f>JG</f>
        <v>8.4</v>
      </c>
      <c r="K44" s="13">
        <v>4</v>
      </c>
      <c r="L44" s="16">
        <f t="shared" si="0"/>
        <v>33.6</v>
      </c>
      <c r="M44" s="16">
        <v>78.099999999999994</v>
      </c>
      <c r="N44" s="18">
        <f t="shared" si="1"/>
        <v>2.6241599999999998</v>
      </c>
      <c r="O44" s="16">
        <v>1.64</v>
      </c>
      <c r="P44" s="18">
        <f t="shared" si="2"/>
        <v>55.103999999999999</v>
      </c>
    </row>
    <row r="45" spans="1:16" ht="24">
      <c r="A45" s="12">
        <v>44</v>
      </c>
      <c r="B45" s="2" t="s">
        <v>170</v>
      </c>
      <c r="C45" s="2" t="s">
        <v>125</v>
      </c>
      <c r="D45" s="1" t="s">
        <v>143</v>
      </c>
      <c r="E45" s="13" t="s">
        <v>827</v>
      </c>
      <c r="F45" s="2" t="s">
        <v>115</v>
      </c>
      <c r="G45" s="13" t="s">
        <v>822</v>
      </c>
      <c r="H45" s="14" t="s">
        <v>823</v>
      </c>
      <c r="I45" s="3">
        <v>10</v>
      </c>
      <c r="J45" s="16">
        <f>JG</f>
        <v>10</v>
      </c>
      <c r="K45" s="13">
        <v>2</v>
      </c>
      <c r="L45" s="16">
        <f t="shared" si="0"/>
        <v>20</v>
      </c>
      <c r="M45" s="16">
        <v>105</v>
      </c>
      <c r="N45" s="18">
        <f t="shared" si="1"/>
        <v>2.1</v>
      </c>
      <c r="O45" s="16">
        <v>1.94</v>
      </c>
      <c r="P45" s="18">
        <f t="shared" si="2"/>
        <v>38.799999999999997</v>
      </c>
    </row>
    <row r="46" spans="1:16" ht="24">
      <c r="A46" s="12">
        <v>45</v>
      </c>
      <c r="B46" s="2" t="s">
        <v>170</v>
      </c>
      <c r="C46" s="2" t="s">
        <v>125</v>
      </c>
      <c r="D46" s="1" t="s">
        <v>144</v>
      </c>
      <c r="E46" s="13" t="s">
        <v>827</v>
      </c>
      <c r="F46" s="2" t="s">
        <v>21</v>
      </c>
      <c r="G46" s="13" t="s">
        <v>822</v>
      </c>
      <c r="H46" s="14" t="s">
        <v>823</v>
      </c>
      <c r="I46" s="3">
        <v>10.8</v>
      </c>
      <c r="J46" s="16">
        <f>JG</f>
        <v>10.8</v>
      </c>
      <c r="K46" s="13">
        <v>2</v>
      </c>
      <c r="L46" s="16">
        <f t="shared" si="0"/>
        <v>21.6</v>
      </c>
      <c r="M46" s="16">
        <v>121</v>
      </c>
      <c r="N46" s="18">
        <f t="shared" si="1"/>
        <v>2.6136000000000004</v>
      </c>
      <c r="O46" s="16">
        <v>2.04</v>
      </c>
      <c r="P46" s="18">
        <f t="shared" si="2"/>
        <v>44.064000000000007</v>
      </c>
    </row>
    <row r="47" spans="1:16" ht="36">
      <c r="A47" s="12">
        <v>46</v>
      </c>
      <c r="B47" s="2" t="s">
        <v>170</v>
      </c>
      <c r="C47" s="2" t="s">
        <v>125</v>
      </c>
      <c r="D47" s="1" t="s">
        <v>145</v>
      </c>
      <c r="E47" s="13" t="s">
        <v>827</v>
      </c>
      <c r="F47" s="2" t="s">
        <v>146</v>
      </c>
      <c r="G47" s="13" t="s">
        <v>822</v>
      </c>
      <c r="H47" s="14" t="s">
        <v>823</v>
      </c>
      <c r="I47" s="3" t="s">
        <v>147</v>
      </c>
      <c r="J47" s="16">
        <f>JG</f>
        <v>179.04999999999998</v>
      </c>
      <c r="K47" s="13">
        <v>1</v>
      </c>
      <c r="L47" s="16">
        <f t="shared" si="0"/>
        <v>179.04999999999998</v>
      </c>
      <c r="M47" s="16">
        <v>20.9</v>
      </c>
      <c r="N47" s="18">
        <f t="shared" si="1"/>
        <v>3.7421449999999994</v>
      </c>
      <c r="O47" s="16">
        <v>0.77500000000000002</v>
      </c>
      <c r="P47" s="18">
        <f t="shared" si="2"/>
        <v>138.76374999999999</v>
      </c>
    </row>
    <row r="48" spans="1:16" ht="24">
      <c r="A48" s="12">
        <v>47</v>
      </c>
      <c r="B48" s="2" t="s">
        <v>170</v>
      </c>
      <c r="C48" s="2" t="s">
        <v>125</v>
      </c>
      <c r="D48" s="1" t="s">
        <v>130</v>
      </c>
      <c r="E48" s="13" t="s">
        <v>828</v>
      </c>
      <c r="F48" s="2" t="s">
        <v>148</v>
      </c>
      <c r="G48" s="13" t="s">
        <v>822</v>
      </c>
      <c r="H48" s="14" t="s">
        <v>823</v>
      </c>
      <c r="I48" s="3" t="s">
        <v>149</v>
      </c>
      <c r="J48" s="16">
        <f>JG</f>
        <v>146</v>
      </c>
      <c r="K48" s="13">
        <v>1</v>
      </c>
      <c r="L48" s="16">
        <f t="shared" si="0"/>
        <v>146</v>
      </c>
      <c r="M48" s="16">
        <f>0.12*0.312*0.09*7850</f>
        <v>26.451360000000001</v>
      </c>
      <c r="N48" s="18">
        <f t="shared" si="1"/>
        <v>3.8618985600000002</v>
      </c>
      <c r="O48" s="16">
        <f>0.12*2*0.312</f>
        <v>7.4880000000000002E-2</v>
      </c>
      <c r="P48" s="18">
        <f t="shared" si="2"/>
        <v>10.93248</v>
      </c>
    </row>
    <row r="49" spans="1:17" ht="24">
      <c r="A49" s="12">
        <v>48</v>
      </c>
      <c r="B49" s="2" t="s">
        <v>170</v>
      </c>
      <c r="C49" s="2" t="s">
        <v>125</v>
      </c>
      <c r="D49" s="1" t="s">
        <v>150</v>
      </c>
      <c r="E49" s="13" t="s">
        <v>829</v>
      </c>
      <c r="F49" s="2" t="s">
        <v>31</v>
      </c>
      <c r="G49" s="13" t="s">
        <v>822</v>
      </c>
      <c r="H49" s="14" t="s">
        <v>823</v>
      </c>
      <c r="I49" s="3" t="s">
        <v>45</v>
      </c>
      <c r="J49" s="16">
        <f>JG</f>
        <v>5.4083269131959844</v>
      </c>
      <c r="K49" s="13">
        <v>12</v>
      </c>
      <c r="L49" s="16">
        <f t="shared" si="0"/>
        <v>64.899922958351809</v>
      </c>
      <c r="M49" s="16">
        <v>14.5</v>
      </c>
      <c r="N49" s="18">
        <f t="shared" si="1"/>
        <v>0.94104888289610122</v>
      </c>
      <c r="O49" s="16">
        <v>0.49299999999999999</v>
      </c>
      <c r="P49" s="18">
        <f t="shared" si="2"/>
        <v>31.995662018467442</v>
      </c>
    </row>
    <row r="50" spans="1:17" ht="24">
      <c r="A50" s="12">
        <v>49</v>
      </c>
      <c r="B50" s="2" t="s">
        <v>170</v>
      </c>
      <c r="C50" s="2" t="s">
        <v>125</v>
      </c>
      <c r="D50" s="1" t="s">
        <v>150</v>
      </c>
      <c r="E50" s="13" t="s">
        <v>829</v>
      </c>
      <c r="F50" s="2" t="s">
        <v>31</v>
      </c>
      <c r="G50" s="13" t="s">
        <v>822</v>
      </c>
      <c r="H50" s="14" t="s">
        <v>823</v>
      </c>
      <c r="I50" s="3" t="s">
        <v>151</v>
      </c>
      <c r="J50" s="16">
        <f>JG</f>
        <v>5.2478567053607703</v>
      </c>
      <c r="K50" s="13">
        <v>4</v>
      </c>
      <c r="L50" s="16">
        <f t="shared" si="0"/>
        <v>20.991426821443081</v>
      </c>
      <c r="M50" s="16">
        <v>14.5</v>
      </c>
      <c r="N50" s="18">
        <f t="shared" si="1"/>
        <v>0.3043756889109247</v>
      </c>
      <c r="O50" s="16">
        <v>0.49299999999999999</v>
      </c>
      <c r="P50" s="18">
        <f t="shared" si="2"/>
        <v>10.348773422971439</v>
      </c>
    </row>
    <row r="51" spans="1:17" ht="24">
      <c r="A51" s="12">
        <v>50</v>
      </c>
      <c r="B51" s="2" t="s">
        <v>170</v>
      </c>
      <c r="C51" s="2" t="s">
        <v>125</v>
      </c>
      <c r="D51" s="1" t="s">
        <v>150</v>
      </c>
      <c r="E51" s="13" t="s">
        <v>829</v>
      </c>
      <c r="F51" s="2" t="s">
        <v>31</v>
      </c>
      <c r="G51" s="13" t="s">
        <v>822</v>
      </c>
      <c r="H51" s="14" t="s">
        <v>823</v>
      </c>
      <c r="I51" s="3" t="s">
        <v>152</v>
      </c>
      <c r="J51" s="16">
        <f>JG</f>
        <v>5.0999999999999996</v>
      </c>
      <c r="K51" s="13">
        <v>4</v>
      </c>
      <c r="L51" s="16">
        <f t="shared" si="0"/>
        <v>20.399999999999999</v>
      </c>
      <c r="M51" s="16">
        <v>14.5</v>
      </c>
      <c r="N51" s="18">
        <f t="shared" si="1"/>
        <v>0.29579999999999995</v>
      </c>
      <c r="O51" s="16">
        <v>0.49299999999999999</v>
      </c>
      <c r="P51" s="18">
        <f t="shared" si="2"/>
        <v>10.0572</v>
      </c>
    </row>
    <row r="52" spans="1:17" ht="24">
      <c r="A52" s="12">
        <v>51</v>
      </c>
      <c r="B52" s="2" t="s">
        <v>170</v>
      </c>
      <c r="C52" s="2" t="s">
        <v>125</v>
      </c>
      <c r="D52" s="1" t="s">
        <v>150</v>
      </c>
      <c r="E52" s="13" t="s">
        <v>829</v>
      </c>
      <c r="F52" s="2" t="s">
        <v>31</v>
      </c>
      <c r="G52" s="13" t="s">
        <v>822</v>
      </c>
      <c r="H52" s="14" t="s">
        <v>823</v>
      </c>
      <c r="I52" s="3" t="s">
        <v>153</v>
      </c>
      <c r="J52" s="16">
        <f>JG</f>
        <v>5.5509008277936296</v>
      </c>
      <c r="K52" s="13">
        <v>8</v>
      </c>
      <c r="L52" s="16">
        <f t="shared" si="0"/>
        <v>44.407206622349037</v>
      </c>
      <c r="M52" s="16">
        <v>14.5</v>
      </c>
      <c r="N52" s="18">
        <f t="shared" si="1"/>
        <v>0.64390449602406108</v>
      </c>
      <c r="O52" s="16">
        <v>0.49299999999999999</v>
      </c>
      <c r="P52" s="18">
        <f t="shared" si="2"/>
        <v>21.892752864818075</v>
      </c>
    </row>
    <row r="53" spans="1:17" ht="24">
      <c r="A53" s="12">
        <v>52</v>
      </c>
      <c r="B53" s="2" t="s">
        <v>170</v>
      </c>
      <c r="C53" s="2" t="s">
        <v>125</v>
      </c>
      <c r="D53" s="1" t="s">
        <v>150</v>
      </c>
      <c r="E53" s="13" t="s">
        <v>829</v>
      </c>
      <c r="F53" s="2" t="s">
        <v>31</v>
      </c>
      <c r="G53" s="13" t="s">
        <v>822</v>
      </c>
      <c r="H53" s="14" t="s">
        <v>823</v>
      </c>
      <c r="I53" s="3" t="s">
        <v>154</v>
      </c>
      <c r="J53" s="16">
        <f>JG</f>
        <v>5.1971145840745132</v>
      </c>
      <c r="K53" s="13">
        <v>8</v>
      </c>
      <c r="L53" s="16">
        <f t="shared" si="0"/>
        <v>41.576916672596106</v>
      </c>
      <c r="M53" s="16">
        <v>14.5</v>
      </c>
      <c r="N53" s="18">
        <f t="shared" si="1"/>
        <v>0.60286529175264358</v>
      </c>
      <c r="O53" s="16">
        <v>0.49299999999999999</v>
      </c>
      <c r="P53" s="18">
        <f t="shared" si="2"/>
        <v>20.497419919589881</v>
      </c>
    </row>
    <row r="54" spans="1:17" ht="24">
      <c r="A54" s="12">
        <v>53</v>
      </c>
      <c r="B54" s="2" t="s">
        <v>170</v>
      </c>
      <c r="C54" s="2" t="s">
        <v>125</v>
      </c>
      <c r="D54" s="1" t="s">
        <v>150</v>
      </c>
      <c r="E54" s="13" t="s">
        <v>829</v>
      </c>
      <c r="F54" s="2" t="s">
        <v>31</v>
      </c>
      <c r="G54" s="13" t="s">
        <v>822</v>
      </c>
      <c r="H54" s="14" t="s">
        <v>823</v>
      </c>
      <c r="I54" s="3" t="s">
        <v>151</v>
      </c>
      <c r="J54" s="16">
        <f>JG</f>
        <v>5.2478567053607703</v>
      </c>
      <c r="K54" s="13">
        <v>24</v>
      </c>
      <c r="L54" s="16">
        <f t="shared" si="0"/>
        <v>125.94856092865848</v>
      </c>
      <c r="M54" s="16">
        <v>14.5</v>
      </c>
      <c r="N54" s="18">
        <f t="shared" si="1"/>
        <v>1.826254133465548</v>
      </c>
      <c r="O54" s="16">
        <v>0.49299999999999999</v>
      </c>
      <c r="P54" s="18">
        <f t="shared" si="2"/>
        <v>62.092640537828629</v>
      </c>
    </row>
    <row r="55" spans="1:17">
      <c r="A55" s="12">
        <v>54</v>
      </c>
      <c r="B55" s="2" t="s">
        <v>110</v>
      </c>
      <c r="C55" s="2" t="s">
        <v>155</v>
      </c>
      <c r="D55" s="1" t="s">
        <v>70</v>
      </c>
      <c r="E55" s="13" t="s">
        <v>827</v>
      </c>
      <c r="F55" s="2" t="s">
        <v>96</v>
      </c>
      <c r="G55" s="13" t="s">
        <v>822</v>
      </c>
      <c r="H55" s="14" t="s">
        <v>823</v>
      </c>
      <c r="I55" s="3">
        <v>9</v>
      </c>
      <c r="J55" s="16">
        <f>JG</f>
        <v>9</v>
      </c>
      <c r="K55" s="13">
        <v>1</v>
      </c>
      <c r="L55" s="16">
        <f t="shared" si="0"/>
        <v>9</v>
      </c>
      <c r="M55" s="16">
        <v>78.099999999999994</v>
      </c>
      <c r="N55" s="18">
        <f t="shared" si="1"/>
        <v>0.70289999999999997</v>
      </c>
      <c r="O55" s="16">
        <v>1.64</v>
      </c>
      <c r="P55" s="18">
        <f t="shared" si="2"/>
        <v>14.76</v>
      </c>
    </row>
    <row r="56" spans="1:17" ht="24">
      <c r="A56" s="12">
        <v>55</v>
      </c>
      <c r="C56" s="2" t="s">
        <v>155</v>
      </c>
      <c r="D56" s="1" t="s">
        <v>157</v>
      </c>
      <c r="E56" s="13" t="s">
        <v>825</v>
      </c>
      <c r="F56" s="2" t="s">
        <v>158</v>
      </c>
      <c r="G56" s="13" t="s">
        <v>822</v>
      </c>
      <c r="H56" s="14" t="s">
        <v>823</v>
      </c>
      <c r="I56" s="3" t="s">
        <v>160</v>
      </c>
      <c r="J56" s="16">
        <f>JG</f>
        <v>11.909659944767524</v>
      </c>
      <c r="K56" s="13">
        <v>6</v>
      </c>
      <c r="L56" s="16">
        <f t="shared" si="0"/>
        <v>71.457959668605142</v>
      </c>
      <c r="M56" s="16">
        <v>49.9</v>
      </c>
      <c r="N56" s="18">
        <f t="shared" si="1"/>
        <v>3.5657521874633966</v>
      </c>
      <c r="O56" s="16">
        <v>1.1599999999999999</v>
      </c>
      <c r="P56" s="18">
        <f t="shared" si="2"/>
        <v>82.891233215581963</v>
      </c>
      <c r="Q56" s="13" t="s">
        <v>165</v>
      </c>
    </row>
    <row r="57" spans="1:17" ht="24">
      <c r="A57" s="12">
        <v>56</v>
      </c>
      <c r="C57" s="2" t="s">
        <v>155</v>
      </c>
      <c r="D57" s="1" t="s">
        <v>157</v>
      </c>
      <c r="E57" s="13" t="s">
        <v>825</v>
      </c>
      <c r="F57" s="2" t="s">
        <v>158</v>
      </c>
      <c r="G57" s="13" t="s">
        <v>822</v>
      </c>
      <c r="H57" s="14" t="s">
        <v>823</v>
      </c>
      <c r="I57" s="3" t="s">
        <v>162</v>
      </c>
      <c r="J57" s="16">
        <f>JG</f>
        <v>11.317243480636085</v>
      </c>
      <c r="K57" s="13">
        <v>2</v>
      </c>
      <c r="L57" s="16">
        <f t="shared" ref="L57:L84" si="7">J57*K57</f>
        <v>22.63448696127217</v>
      </c>
      <c r="M57" s="16">
        <v>49.9</v>
      </c>
      <c r="N57" s="18">
        <f t="shared" ref="N57:N84" si="8">L57*M57*0.001</f>
        <v>1.1294608993674813</v>
      </c>
      <c r="O57" s="16">
        <v>1.1599999999999999</v>
      </c>
      <c r="P57" s="18">
        <f t="shared" ref="P57:P84" si="9">O57*L57</f>
        <v>26.256004875075714</v>
      </c>
      <c r="Q57" s="13" t="s">
        <v>165</v>
      </c>
    </row>
    <row r="58" spans="1:17" ht="24">
      <c r="A58" s="12">
        <v>57</v>
      </c>
      <c r="C58" s="2" t="s">
        <v>155</v>
      </c>
      <c r="D58" s="1" t="s">
        <v>157</v>
      </c>
      <c r="E58" s="13" t="s">
        <v>825</v>
      </c>
      <c r="F58" s="2" t="s">
        <v>158</v>
      </c>
      <c r="G58" s="13" t="s">
        <v>822</v>
      </c>
      <c r="H58" s="14" t="s">
        <v>823</v>
      </c>
      <c r="I58" s="3" t="s">
        <v>164</v>
      </c>
      <c r="J58" s="16">
        <f>JG</f>
        <v>10.61508360777248</v>
      </c>
      <c r="K58" s="13">
        <v>2</v>
      </c>
      <c r="L58" s="16">
        <f t="shared" si="7"/>
        <v>21.230167215544959</v>
      </c>
      <c r="M58" s="16">
        <v>49.9</v>
      </c>
      <c r="N58" s="18">
        <f t="shared" si="8"/>
        <v>1.0593853440556935</v>
      </c>
      <c r="O58" s="16">
        <v>1.1599999999999999</v>
      </c>
      <c r="P58" s="18">
        <f t="shared" si="9"/>
        <v>24.626993970032153</v>
      </c>
      <c r="Q58" s="13" t="s">
        <v>165</v>
      </c>
    </row>
    <row r="59" spans="1:17">
      <c r="A59" s="12">
        <v>58</v>
      </c>
      <c r="B59" s="2" t="s">
        <v>110</v>
      </c>
      <c r="C59" s="2" t="s">
        <v>166</v>
      </c>
      <c r="D59" s="1" t="s">
        <v>70</v>
      </c>
      <c r="E59" s="13" t="s">
        <v>827</v>
      </c>
      <c r="F59" s="2" t="s">
        <v>96</v>
      </c>
      <c r="G59" s="13" t="s">
        <v>822</v>
      </c>
      <c r="H59" s="14" t="s">
        <v>823</v>
      </c>
      <c r="I59" s="3">
        <v>10</v>
      </c>
      <c r="J59" s="16">
        <f>JG</f>
        <v>10</v>
      </c>
      <c r="K59" s="13">
        <v>1</v>
      </c>
      <c r="L59" s="16">
        <f t="shared" si="7"/>
        <v>10</v>
      </c>
      <c r="M59" s="16">
        <v>78.099999999999994</v>
      </c>
      <c r="N59" s="18">
        <f t="shared" si="8"/>
        <v>0.78100000000000003</v>
      </c>
      <c r="O59" s="16">
        <v>1.64</v>
      </c>
      <c r="P59" s="18">
        <f t="shared" si="9"/>
        <v>16.399999999999999</v>
      </c>
    </row>
    <row r="60" spans="1:17" ht="24">
      <c r="A60" s="12">
        <v>59</v>
      </c>
      <c r="C60" s="2" t="s">
        <v>166</v>
      </c>
      <c r="D60" s="1" t="s">
        <v>157</v>
      </c>
      <c r="E60" s="13" t="s">
        <v>825</v>
      </c>
      <c r="F60" s="2" t="s">
        <v>158</v>
      </c>
      <c r="G60" s="13" t="s">
        <v>822</v>
      </c>
      <c r="H60" s="14" t="s">
        <v>823</v>
      </c>
      <c r="I60" s="3" t="s">
        <v>159</v>
      </c>
      <c r="J60" s="16">
        <f>JG</f>
        <v>11.909659944767524</v>
      </c>
      <c r="K60" s="13">
        <v>6</v>
      </c>
      <c r="L60" s="16">
        <f t="shared" si="7"/>
        <v>71.457959668605142</v>
      </c>
      <c r="M60" s="16">
        <v>49.9</v>
      </c>
      <c r="N60" s="18">
        <f t="shared" si="8"/>
        <v>3.5657521874633966</v>
      </c>
      <c r="O60" s="16">
        <v>1.1599999999999999</v>
      </c>
      <c r="P60" s="18">
        <f t="shared" si="9"/>
        <v>82.891233215581963</v>
      </c>
      <c r="Q60" s="13" t="s">
        <v>165</v>
      </c>
    </row>
    <row r="61" spans="1:17" ht="24">
      <c r="A61" s="12">
        <v>60</v>
      </c>
      <c r="C61" s="2" t="s">
        <v>166</v>
      </c>
      <c r="D61" s="1" t="s">
        <v>157</v>
      </c>
      <c r="E61" s="13" t="s">
        <v>825</v>
      </c>
      <c r="F61" s="2" t="s">
        <v>158</v>
      </c>
      <c r="G61" s="13" t="s">
        <v>822</v>
      </c>
      <c r="H61" s="14" t="s">
        <v>823</v>
      </c>
      <c r="I61" s="3" t="s">
        <v>161</v>
      </c>
      <c r="J61" s="16">
        <f>JG</f>
        <v>11.317243480636085</v>
      </c>
      <c r="K61" s="13">
        <v>2</v>
      </c>
      <c r="L61" s="16">
        <f t="shared" si="7"/>
        <v>22.63448696127217</v>
      </c>
      <c r="M61" s="16">
        <v>49.9</v>
      </c>
      <c r="N61" s="18">
        <f t="shared" si="8"/>
        <v>1.1294608993674813</v>
      </c>
      <c r="O61" s="16">
        <v>1.1599999999999999</v>
      </c>
      <c r="P61" s="18">
        <f t="shared" si="9"/>
        <v>26.256004875075714</v>
      </c>
      <c r="Q61" s="13" t="s">
        <v>165</v>
      </c>
    </row>
    <row r="62" spans="1:17" ht="24">
      <c r="A62" s="12">
        <v>61</v>
      </c>
      <c r="C62" s="2" t="s">
        <v>166</v>
      </c>
      <c r="D62" s="1" t="s">
        <v>157</v>
      </c>
      <c r="E62" s="13" t="s">
        <v>825</v>
      </c>
      <c r="F62" s="2" t="s">
        <v>158</v>
      </c>
      <c r="G62" s="13" t="s">
        <v>822</v>
      </c>
      <c r="H62" s="14" t="s">
        <v>823</v>
      </c>
      <c r="I62" s="3" t="s">
        <v>163</v>
      </c>
      <c r="J62" s="16">
        <f>JG</f>
        <v>10.61508360777248</v>
      </c>
      <c r="K62" s="13">
        <v>2</v>
      </c>
      <c r="L62" s="16">
        <f t="shared" si="7"/>
        <v>21.230167215544959</v>
      </c>
      <c r="M62" s="16">
        <v>49.9</v>
      </c>
      <c r="N62" s="18">
        <f t="shared" si="8"/>
        <v>1.0593853440556935</v>
      </c>
      <c r="O62" s="16">
        <v>1.1599999999999999</v>
      </c>
      <c r="P62" s="18">
        <f t="shared" si="9"/>
        <v>24.626993970032153</v>
      </c>
      <c r="Q62" s="13" t="s">
        <v>165</v>
      </c>
    </row>
    <row r="63" spans="1:17" ht="24">
      <c r="A63" s="12">
        <v>62</v>
      </c>
      <c r="C63" s="2" t="s">
        <v>167</v>
      </c>
      <c r="D63" s="1" t="s">
        <v>157</v>
      </c>
      <c r="E63" s="13" t="s">
        <v>825</v>
      </c>
      <c r="F63" s="2" t="s">
        <v>158</v>
      </c>
      <c r="G63" s="13" t="s">
        <v>822</v>
      </c>
      <c r="H63" s="14" t="s">
        <v>823</v>
      </c>
      <c r="I63" s="3" t="s">
        <v>168</v>
      </c>
      <c r="J63" s="16">
        <f>JG</f>
        <v>10.153324578678651</v>
      </c>
      <c r="K63" s="13">
        <v>2</v>
      </c>
      <c r="L63" s="16">
        <f t="shared" si="7"/>
        <v>20.306649157357302</v>
      </c>
      <c r="M63" s="16">
        <v>49.9</v>
      </c>
      <c r="N63" s="18">
        <f t="shared" si="8"/>
        <v>1.0133017929521295</v>
      </c>
      <c r="O63" s="16">
        <v>1.1599999999999999</v>
      </c>
      <c r="P63" s="18">
        <f t="shared" si="9"/>
        <v>23.555713022534469</v>
      </c>
      <c r="Q63" s="13" t="s">
        <v>165</v>
      </c>
    </row>
    <row r="64" spans="1:17">
      <c r="A64" s="12">
        <v>63</v>
      </c>
      <c r="B64" s="2" t="s">
        <v>186</v>
      </c>
      <c r="C64" s="2" t="s">
        <v>169</v>
      </c>
      <c r="D64" s="1" t="s">
        <v>171</v>
      </c>
      <c r="E64" s="13" t="s">
        <v>827</v>
      </c>
      <c r="F64" s="2" t="s">
        <v>172</v>
      </c>
      <c r="G64" s="13" t="s">
        <v>822</v>
      </c>
      <c r="H64" s="14" t="s">
        <v>823</v>
      </c>
      <c r="I64" s="3">
        <v>3</v>
      </c>
      <c r="J64" s="16">
        <f>JG</f>
        <v>3</v>
      </c>
      <c r="K64" s="13">
        <v>2</v>
      </c>
      <c r="L64" s="16">
        <f t="shared" si="7"/>
        <v>6</v>
      </c>
      <c r="M64" s="16">
        <v>55.8</v>
      </c>
      <c r="N64" s="18">
        <f t="shared" si="8"/>
        <v>0.33479999999999999</v>
      </c>
      <c r="O64" s="16">
        <v>1.35</v>
      </c>
      <c r="P64" s="18">
        <f t="shared" si="9"/>
        <v>8.1000000000000014</v>
      </c>
    </row>
    <row r="65" spans="1:17">
      <c r="A65" s="12">
        <v>64</v>
      </c>
      <c r="B65" s="2" t="s">
        <v>186</v>
      </c>
      <c r="C65" s="2" t="s">
        <v>169</v>
      </c>
      <c r="D65" s="1" t="s">
        <v>173</v>
      </c>
      <c r="E65" s="13" t="s">
        <v>827</v>
      </c>
      <c r="F65" s="2" t="s">
        <v>172</v>
      </c>
      <c r="G65" s="13" t="s">
        <v>822</v>
      </c>
      <c r="H65" s="14" t="s">
        <v>823</v>
      </c>
      <c r="I65" s="3" t="s">
        <v>174</v>
      </c>
      <c r="J65" s="16">
        <f>JG</f>
        <v>2.4119999999999999</v>
      </c>
      <c r="K65" s="13">
        <v>1</v>
      </c>
      <c r="L65" s="16">
        <f t="shared" si="7"/>
        <v>2.4119999999999999</v>
      </c>
      <c r="M65" s="16">
        <v>55.8</v>
      </c>
      <c r="N65" s="18">
        <f t="shared" si="8"/>
        <v>0.1345896</v>
      </c>
      <c r="O65" s="16">
        <v>1.35</v>
      </c>
      <c r="P65" s="18">
        <f t="shared" si="9"/>
        <v>3.2562000000000002</v>
      </c>
    </row>
    <row r="66" spans="1:17">
      <c r="A66" s="12">
        <v>65</v>
      </c>
      <c r="B66" s="2" t="s">
        <v>186</v>
      </c>
      <c r="C66" s="2" t="s">
        <v>169</v>
      </c>
      <c r="D66" s="1" t="s">
        <v>173</v>
      </c>
      <c r="E66" s="13" t="s">
        <v>827</v>
      </c>
      <c r="F66" s="2" t="s">
        <v>172</v>
      </c>
      <c r="G66" s="13" t="s">
        <v>822</v>
      </c>
      <c r="H66" s="14" t="s">
        <v>823</v>
      </c>
      <c r="I66" s="3" t="s">
        <v>175</v>
      </c>
      <c r="J66" s="16">
        <f>JG</f>
        <v>2.75</v>
      </c>
      <c r="K66" s="13">
        <v>1</v>
      </c>
      <c r="L66" s="16">
        <f t="shared" si="7"/>
        <v>2.75</v>
      </c>
      <c r="M66" s="16">
        <v>55.8</v>
      </c>
      <c r="N66" s="18">
        <f t="shared" si="8"/>
        <v>0.15345</v>
      </c>
      <c r="O66" s="16">
        <v>1.35</v>
      </c>
      <c r="P66" s="18">
        <f t="shared" si="9"/>
        <v>3.7125000000000004</v>
      </c>
      <c r="Q66" s="13" t="s">
        <v>176</v>
      </c>
    </row>
    <row r="67" spans="1:17">
      <c r="A67" s="12">
        <v>66</v>
      </c>
      <c r="B67" s="2" t="s">
        <v>186</v>
      </c>
      <c r="C67" s="2" t="s">
        <v>169</v>
      </c>
      <c r="D67" s="1" t="s">
        <v>150</v>
      </c>
      <c r="E67" s="13" t="s">
        <v>829</v>
      </c>
      <c r="F67" s="2" t="s">
        <v>31</v>
      </c>
      <c r="G67" s="13" t="s">
        <v>822</v>
      </c>
      <c r="H67" s="14" t="s">
        <v>823</v>
      </c>
      <c r="I67" s="3" t="s">
        <v>177</v>
      </c>
      <c r="J67" s="16">
        <f>JG</f>
        <v>4.2426406871192848</v>
      </c>
      <c r="K67" s="13">
        <v>2</v>
      </c>
      <c r="L67" s="16">
        <f t="shared" si="7"/>
        <v>8.4852813742385695</v>
      </c>
      <c r="M67" s="16">
        <v>14.5</v>
      </c>
      <c r="N67" s="18">
        <f t="shared" si="8"/>
        <v>0.12303657992645925</v>
      </c>
      <c r="O67" s="16">
        <v>0.49299999999999999</v>
      </c>
      <c r="P67" s="18">
        <f t="shared" si="9"/>
        <v>4.1832437174996144</v>
      </c>
    </row>
    <row r="68" spans="1:17">
      <c r="A68" s="12">
        <v>67</v>
      </c>
      <c r="C68" s="2" t="s">
        <v>169</v>
      </c>
      <c r="D68" s="1" t="s">
        <v>188</v>
      </c>
      <c r="E68" s="13" t="s">
        <v>827</v>
      </c>
      <c r="F68" s="2" t="s">
        <v>189</v>
      </c>
      <c r="G68" s="13" t="s">
        <v>822</v>
      </c>
      <c r="H68" s="14" t="s">
        <v>823</v>
      </c>
      <c r="I68" s="3" t="s">
        <v>190</v>
      </c>
      <c r="J68" s="16">
        <f>JG</f>
        <v>4.1036569057366385</v>
      </c>
      <c r="K68" s="13">
        <v>4</v>
      </c>
      <c r="L68" s="16">
        <f t="shared" si="7"/>
        <v>16.414627622946554</v>
      </c>
      <c r="M68" s="16">
        <v>31.1</v>
      </c>
      <c r="N68" s="18">
        <f t="shared" si="8"/>
        <v>0.51049491907363787</v>
      </c>
      <c r="O68" s="16">
        <v>0.872</v>
      </c>
      <c r="P68" s="18">
        <f t="shared" si="9"/>
        <v>14.313555287209395</v>
      </c>
      <c r="Q68" s="13" t="s">
        <v>165</v>
      </c>
    </row>
    <row r="69" spans="1:17">
      <c r="A69" s="12">
        <v>68</v>
      </c>
      <c r="C69" s="2" t="s">
        <v>169</v>
      </c>
      <c r="D69" s="1" t="s">
        <v>188</v>
      </c>
      <c r="E69" s="13" t="s">
        <v>827</v>
      </c>
      <c r="F69" s="2" t="s">
        <v>189</v>
      </c>
      <c r="G69" s="13" t="s">
        <v>822</v>
      </c>
      <c r="H69" s="14" t="s">
        <v>823</v>
      </c>
      <c r="I69" s="3" t="s">
        <v>193</v>
      </c>
      <c r="J69" s="16">
        <f>JG</f>
        <v>1.875</v>
      </c>
      <c r="K69" s="13">
        <v>4</v>
      </c>
      <c r="L69" s="16">
        <f t="shared" si="7"/>
        <v>7.5</v>
      </c>
      <c r="M69" s="16">
        <v>31.1</v>
      </c>
      <c r="N69" s="18">
        <f t="shared" si="8"/>
        <v>0.23325000000000001</v>
      </c>
      <c r="O69" s="16">
        <v>0.872</v>
      </c>
      <c r="P69" s="18">
        <f t="shared" si="9"/>
        <v>6.54</v>
      </c>
    </row>
    <row r="70" spans="1:17">
      <c r="A70" s="12">
        <v>69</v>
      </c>
      <c r="B70" s="2" t="s">
        <v>187</v>
      </c>
      <c r="C70" s="2" t="s">
        <v>169</v>
      </c>
      <c r="D70" s="1" t="s">
        <v>178</v>
      </c>
      <c r="E70" s="13" t="s">
        <v>827</v>
      </c>
      <c r="F70" s="2" t="s">
        <v>179</v>
      </c>
      <c r="G70" s="13" t="s">
        <v>822</v>
      </c>
      <c r="H70" s="14" t="s">
        <v>823</v>
      </c>
      <c r="I70" s="3" t="s">
        <v>180</v>
      </c>
      <c r="J70" s="16">
        <f>JG</f>
        <v>6.8</v>
      </c>
      <c r="K70" s="13">
        <v>1</v>
      </c>
      <c r="L70" s="16">
        <f t="shared" si="7"/>
        <v>6.8</v>
      </c>
      <c r="M70" s="16">
        <v>55.8</v>
      </c>
      <c r="N70" s="18">
        <f t="shared" si="8"/>
        <v>0.37944</v>
      </c>
      <c r="O70" s="16">
        <v>1.35</v>
      </c>
      <c r="P70" s="18">
        <f t="shared" si="9"/>
        <v>9.18</v>
      </c>
    </row>
    <row r="71" spans="1:17">
      <c r="A71" s="12">
        <v>70</v>
      </c>
      <c r="B71" s="2" t="s">
        <v>187</v>
      </c>
      <c r="C71" s="2" t="s">
        <v>169</v>
      </c>
      <c r="D71" s="1" t="s">
        <v>181</v>
      </c>
      <c r="E71" s="13" t="s">
        <v>828</v>
      </c>
      <c r="F71" s="2" t="s">
        <v>182</v>
      </c>
      <c r="G71" s="13" t="s">
        <v>822</v>
      </c>
      <c r="H71" s="14" t="s">
        <v>823</v>
      </c>
      <c r="I71" s="3">
        <v>4</v>
      </c>
      <c r="J71" s="16">
        <f>JG</f>
        <v>4</v>
      </c>
      <c r="K71" s="13">
        <v>1</v>
      </c>
      <c r="L71" s="16">
        <f t="shared" si="7"/>
        <v>4</v>
      </c>
      <c r="M71" s="16">
        <f>0.096*0.27*0.008*7850</f>
        <v>1.6277760000000001</v>
      </c>
      <c r="N71" s="18">
        <f t="shared" si="8"/>
        <v>6.5111040000000002E-3</v>
      </c>
      <c r="O71" s="16">
        <f>0.096*2*0.27</f>
        <v>5.1840000000000004E-2</v>
      </c>
      <c r="P71" s="18">
        <f t="shared" si="9"/>
        <v>0.20736000000000002</v>
      </c>
    </row>
    <row r="72" spans="1:17">
      <c r="A72" s="12">
        <v>71</v>
      </c>
      <c r="B72" s="2" t="s">
        <v>187</v>
      </c>
      <c r="C72" s="2" t="s">
        <v>169</v>
      </c>
      <c r="D72" s="1" t="s">
        <v>94</v>
      </c>
      <c r="E72" s="13" t="s">
        <v>827</v>
      </c>
      <c r="F72" s="2" t="s">
        <v>179</v>
      </c>
      <c r="G72" s="13" t="s">
        <v>822</v>
      </c>
      <c r="H72" s="14" t="s">
        <v>823</v>
      </c>
      <c r="I72" s="3">
        <v>6.5</v>
      </c>
      <c r="J72" s="16">
        <f>JG</f>
        <v>6.5</v>
      </c>
      <c r="K72" s="13">
        <v>2</v>
      </c>
      <c r="L72" s="16">
        <f t="shared" si="7"/>
        <v>13</v>
      </c>
      <c r="M72" s="16">
        <v>55.8</v>
      </c>
      <c r="N72" s="18">
        <f t="shared" si="8"/>
        <v>0.72540000000000004</v>
      </c>
      <c r="O72" s="16">
        <v>1.35</v>
      </c>
      <c r="P72" s="18">
        <f t="shared" si="9"/>
        <v>17.55</v>
      </c>
    </row>
    <row r="73" spans="1:17">
      <c r="A73" s="12">
        <v>72</v>
      </c>
      <c r="B73" s="2" t="s">
        <v>187</v>
      </c>
      <c r="C73" s="2" t="s">
        <v>169</v>
      </c>
      <c r="D73" s="1" t="s">
        <v>173</v>
      </c>
      <c r="E73" s="13" t="s">
        <v>827</v>
      </c>
      <c r="F73" s="2" t="s">
        <v>172</v>
      </c>
      <c r="G73" s="13" t="s">
        <v>822</v>
      </c>
      <c r="H73" s="14" t="s">
        <v>823</v>
      </c>
      <c r="I73" s="3" t="s">
        <v>92</v>
      </c>
      <c r="J73" s="16">
        <f>JG</f>
        <v>6.61</v>
      </c>
      <c r="K73" s="13">
        <v>2</v>
      </c>
      <c r="L73" s="16">
        <f t="shared" si="7"/>
        <v>13.22</v>
      </c>
      <c r="M73" s="16">
        <v>55.8</v>
      </c>
      <c r="N73" s="18">
        <f t="shared" si="8"/>
        <v>0.73767600000000011</v>
      </c>
      <c r="O73" s="16">
        <v>1.35</v>
      </c>
      <c r="P73" s="18">
        <f t="shared" si="9"/>
        <v>17.847000000000001</v>
      </c>
    </row>
    <row r="74" spans="1:17">
      <c r="A74" s="12">
        <v>73</v>
      </c>
      <c r="B74" s="2" t="s">
        <v>187</v>
      </c>
      <c r="C74" s="2" t="s">
        <v>169</v>
      </c>
      <c r="D74" s="1" t="s">
        <v>145</v>
      </c>
      <c r="E74" s="13" t="s">
        <v>827</v>
      </c>
      <c r="F74" s="2" t="s">
        <v>146</v>
      </c>
      <c r="G74" s="13" t="s">
        <v>822</v>
      </c>
      <c r="H74" s="14" t="s">
        <v>823</v>
      </c>
      <c r="I74" s="3" t="s">
        <v>183</v>
      </c>
      <c r="J74" s="16">
        <f>JG</f>
        <v>3.05</v>
      </c>
      <c r="K74" s="13">
        <v>1</v>
      </c>
      <c r="L74" s="16">
        <f t="shared" si="7"/>
        <v>3.05</v>
      </c>
      <c r="M74" s="16">
        <v>20.9</v>
      </c>
      <c r="N74" s="18">
        <f t="shared" si="8"/>
        <v>6.3744999999999996E-2</v>
      </c>
      <c r="O74" s="16">
        <v>0.77500000000000002</v>
      </c>
      <c r="P74" s="18">
        <f t="shared" si="9"/>
        <v>2.36375</v>
      </c>
    </row>
    <row r="75" spans="1:17">
      <c r="A75" s="12">
        <v>74</v>
      </c>
      <c r="B75" s="2" t="s">
        <v>187</v>
      </c>
      <c r="C75" s="2" t="s">
        <v>169</v>
      </c>
      <c r="D75" s="1" t="s">
        <v>184</v>
      </c>
      <c r="E75" s="13" t="s">
        <v>829</v>
      </c>
      <c r="F75" s="2" t="s">
        <v>31</v>
      </c>
      <c r="G75" s="13" t="s">
        <v>822</v>
      </c>
      <c r="H75" s="14" t="s">
        <v>823</v>
      </c>
      <c r="I75" s="3" t="s">
        <v>185</v>
      </c>
      <c r="J75" s="16">
        <f>JG</f>
        <v>4.7762432936356998</v>
      </c>
      <c r="K75" s="13">
        <v>2</v>
      </c>
      <c r="L75" s="16">
        <f t="shared" si="7"/>
        <v>9.5524865872713995</v>
      </c>
      <c r="M75" s="16">
        <v>14.5</v>
      </c>
      <c r="N75" s="18">
        <f t="shared" si="8"/>
        <v>0.1385110555154353</v>
      </c>
      <c r="O75" s="16">
        <v>0.49299999999999999</v>
      </c>
      <c r="P75" s="18">
        <f t="shared" si="9"/>
        <v>4.7093758875248</v>
      </c>
    </row>
    <row r="76" spans="1:17">
      <c r="A76" s="12">
        <v>75</v>
      </c>
      <c r="C76" s="2" t="s">
        <v>169</v>
      </c>
      <c r="D76" s="1" t="s">
        <v>188</v>
      </c>
      <c r="E76" s="13" t="s">
        <v>827</v>
      </c>
      <c r="F76" s="2" t="s">
        <v>189</v>
      </c>
      <c r="G76" s="13" t="s">
        <v>822</v>
      </c>
      <c r="H76" s="14" t="s">
        <v>823</v>
      </c>
      <c r="I76" s="3" t="s">
        <v>191</v>
      </c>
      <c r="J76" s="16">
        <f>JG</f>
        <v>4.1003048667141817</v>
      </c>
      <c r="K76" s="13">
        <v>4</v>
      </c>
      <c r="L76" s="16">
        <f t="shared" si="7"/>
        <v>16.401219466856727</v>
      </c>
      <c r="M76" s="16">
        <v>31.1</v>
      </c>
      <c r="N76" s="18">
        <f t="shared" si="8"/>
        <v>0.51007792541924424</v>
      </c>
      <c r="O76" s="16">
        <v>0.872</v>
      </c>
      <c r="P76" s="18">
        <f t="shared" si="9"/>
        <v>14.301863375099066</v>
      </c>
      <c r="Q76" s="13" t="s">
        <v>165</v>
      </c>
    </row>
    <row r="77" spans="1:17" ht="24">
      <c r="A77" s="12">
        <v>76</v>
      </c>
      <c r="C77" s="2" t="s">
        <v>169</v>
      </c>
      <c r="D77" s="1" t="s">
        <v>188</v>
      </c>
      <c r="E77" s="13" t="s">
        <v>827</v>
      </c>
      <c r="F77" s="2" t="s">
        <v>189</v>
      </c>
      <c r="G77" s="13" t="s">
        <v>822</v>
      </c>
      <c r="H77" s="14" t="s">
        <v>823</v>
      </c>
      <c r="I77" s="3" t="s">
        <v>192</v>
      </c>
      <c r="J77" s="16">
        <f>JG</f>
        <v>34.201709957252135</v>
      </c>
      <c r="K77" s="13">
        <v>4</v>
      </c>
      <c r="L77" s="16">
        <f t="shared" si="7"/>
        <v>136.80683982900854</v>
      </c>
      <c r="M77" s="16">
        <v>31.1</v>
      </c>
      <c r="N77" s="18">
        <f t="shared" si="8"/>
        <v>4.2546927186821657</v>
      </c>
      <c r="O77" s="16">
        <v>0.872</v>
      </c>
      <c r="P77" s="18">
        <f t="shared" si="9"/>
        <v>119.29556433089544</v>
      </c>
    </row>
    <row r="78" spans="1:17">
      <c r="A78" s="12">
        <v>77</v>
      </c>
      <c r="C78" s="2" t="s">
        <v>194</v>
      </c>
      <c r="D78" s="1" t="s">
        <v>195</v>
      </c>
      <c r="E78" s="13" t="s">
        <v>828</v>
      </c>
      <c r="F78" s="2" t="s">
        <v>196</v>
      </c>
      <c r="G78" s="13" t="s">
        <v>822</v>
      </c>
      <c r="H78" s="14" t="s">
        <v>823</v>
      </c>
      <c r="I78" s="3">
        <v>1</v>
      </c>
      <c r="J78" s="16">
        <f>JG</f>
        <v>1</v>
      </c>
      <c r="K78" s="13">
        <v>1</v>
      </c>
      <c r="L78" s="16">
        <f t="shared" si="7"/>
        <v>1</v>
      </c>
      <c r="M78" s="16">
        <f>0.38*0.38*0.03*7850</f>
        <v>34.0062</v>
      </c>
      <c r="N78" s="18">
        <f t="shared" si="8"/>
        <v>3.40062E-2</v>
      </c>
      <c r="O78" s="17">
        <f>0.38*0.38</f>
        <v>0.1444</v>
      </c>
      <c r="P78" s="18">
        <f t="shared" si="9"/>
        <v>0.1444</v>
      </c>
      <c r="Q78" s="13" t="s">
        <v>197</v>
      </c>
    </row>
    <row r="79" spans="1:17" ht="24">
      <c r="A79" s="12">
        <v>78</v>
      </c>
      <c r="C79" s="2" t="s">
        <v>194</v>
      </c>
      <c r="D79" s="1" t="s">
        <v>195</v>
      </c>
      <c r="E79" s="13" t="s">
        <v>828</v>
      </c>
      <c r="F79" s="2" t="s">
        <v>199</v>
      </c>
      <c r="G79" s="13" t="s">
        <v>822</v>
      </c>
      <c r="H79" s="14" t="s">
        <v>823</v>
      </c>
      <c r="I79" s="3">
        <v>4</v>
      </c>
      <c r="J79" s="16">
        <f>JG</f>
        <v>4</v>
      </c>
      <c r="K79" s="13">
        <v>1</v>
      </c>
      <c r="L79" s="16">
        <f t="shared" si="7"/>
        <v>4</v>
      </c>
      <c r="M79" s="16">
        <f>(0.1005*2*0.2-0.0755*0.175)*0.01*7850</f>
        <v>2.1185187500000007</v>
      </c>
      <c r="N79" s="18">
        <f t="shared" si="8"/>
        <v>8.4740750000000028E-3</v>
      </c>
      <c r="O79" s="17">
        <f>0.1005*2*0.2-0.0755*0.175</f>
        <v>2.6987500000000008E-2</v>
      </c>
      <c r="P79" s="18">
        <f t="shared" si="9"/>
        <v>0.10795000000000003</v>
      </c>
      <c r="Q79" s="13" t="s">
        <v>197</v>
      </c>
    </row>
    <row r="80" spans="1:17">
      <c r="A80" s="12">
        <v>79</v>
      </c>
      <c r="C80" s="2" t="s">
        <v>194</v>
      </c>
      <c r="D80" s="1" t="s">
        <v>198</v>
      </c>
      <c r="E80" s="13" t="s">
        <v>826</v>
      </c>
      <c r="F80" s="2" t="s">
        <v>200</v>
      </c>
      <c r="G80" s="13" t="s">
        <v>822</v>
      </c>
      <c r="H80" s="14" t="s">
        <v>823</v>
      </c>
      <c r="I80" s="3" t="s">
        <v>201</v>
      </c>
      <c r="J80" s="16">
        <f>JG</f>
        <v>3.3220000000000005</v>
      </c>
      <c r="K80" s="13">
        <v>1</v>
      </c>
      <c r="L80" s="16">
        <f t="shared" si="7"/>
        <v>3.3220000000000005</v>
      </c>
      <c r="M80" s="16">
        <v>22.638999999999999</v>
      </c>
      <c r="N80" s="18">
        <f t="shared" si="8"/>
        <v>7.5206758000000012E-2</v>
      </c>
      <c r="O80" s="17">
        <f>PI()*0.159</f>
        <v>0.49951323192077712</v>
      </c>
      <c r="P80" s="18">
        <f t="shared" si="9"/>
        <v>1.6593829564408218</v>
      </c>
      <c r="Q80" s="13" t="s">
        <v>197</v>
      </c>
    </row>
    <row r="81" spans="1:17">
      <c r="A81" s="12">
        <v>80</v>
      </c>
      <c r="C81" s="2" t="s">
        <v>194</v>
      </c>
      <c r="D81" s="1" t="s">
        <v>204</v>
      </c>
      <c r="E81" s="13" t="s">
        <v>828</v>
      </c>
      <c r="F81" s="2" t="s">
        <v>205</v>
      </c>
      <c r="G81" s="13" t="s">
        <v>822</v>
      </c>
      <c r="H81" s="14" t="s">
        <v>823</v>
      </c>
      <c r="I81" s="3">
        <v>1</v>
      </c>
      <c r="J81" s="16">
        <f>JG</f>
        <v>1</v>
      </c>
      <c r="K81" s="13">
        <v>1</v>
      </c>
      <c r="L81" s="16">
        <f t="shared" si="7"/>
        <v>1</v>
      </c>
      <c r="M81" s="16">
        <f>0.19*0.359*0.012*7850</f>
        <v>6.425381999999999</v>
      </c>
      <c r="N81" s="18">
        <f t="shared" si="8"/>
        <v>6.4253819999999994E-3</v>
      </c>
      <c r="O81" s="17">
        <f>0.19*2*0.359-PI()*0.0795^2-0.1*0.359</f>
        <v>8.0664349031149093E-2</v>
      </c>
      <c r="P81" s="18">
        <f t="shared" si="9"/>
        <v>8.0664349031149093E-2</v>
      </c>
      <c r="Q81" s="13" t="s">
        <v>197</v>
      </c>
    </row>
    <row r="82" spans="1:17" ht="24">
      <c r="A82" s="12">
        <v>81</v>
      </c>
      <c r="C82" s="2" t="s">
        <v>194</v>
      </c>
      <c r="D82" s="1" t="s">
        <v>202</v>
      </c>
      <c r="E82" s="13" t="s">
        <v>828</v>
      </c>
      <c r="F82" s="2" t="s">
        <v>203</v>
      </c>
      <c r="G82" s="13" t="s">
        <v>822</v>
      </c>
      <c r="H82" s="14" t="s">
        <v>823</v>
      </c>
      <c r="I82" s="3">
        <v>2</v>
      </c>
      <c r="J82" s="16">
        <f>JG</f>
        <v>2</v>
      </c>
      <c r="K82" s="13">
        <v>1</v>
      </c>
      <c r="L82" s="16">
        <f t="shared" si="7"/>
        <v>2</v>
      </c>
      <c r="M82" s="16">
        <f>(0.1*2*0.2-0.1*0.1)*0.006*7850</f>
        <v>1.4130000000000003</v>
      </c>
      <c r="N82" s="18">
        <f t="shared" si="8"/>
        <v>2.8260000000000004E-3</v>
      </c>
      <c r="O82" s="17">
        <f>0.1*2*0.2-0.1*0.1</f>
        <v>3.0000000000000006E-2</v>
      </c>
      <c r="P82" s="18">
        <f t="shared" si="9"/>
        <v>6.0000000000000012E-2</v>
      </c>
      <c r="Q82" s="13" t="s">
        <v>197</v>
      </c>
    </row>
    <row r="83" spans="1:17">
      <c r="A83" s="12">
        <v>82</v>
      </c>
      <c r="C83" s="2" t="s">
        <v>194</v>
      </c>
      <c r="D83" s="1" t="s">
        <v>206</v>
      </c>
      <c r="E83" s="13" t="s">
        <v>827</v>
      </c>
      <c r="F83" s="2" t="s">
        <v>207</v>
      </c>
      <c r="G83" s="13" t="s">
        <v>822</v>
      </c>
      <c r="H83" s="14" t="s">
        <v>823</v>
      </c>
      <c r="I83" s="3">
        <v>1.2</v>
      </c>
      <c r="J83" s="16">
        <f>JG</f>
        <v>1.2</v>
      </c>
      <c r="K83" s="13">
        <v>1</v>
      </c>
      <c r="L83" s="16">
        <f t="shared" si="7"/>
        <v>1.2</v>
      </c>
      <c r="M83" s="16">
        <v>20.7</v>
      </c>
      <c r="N83" s="18">
        <f t="shared" si="8"/>
        <v>2.4840000000000001E-2</v>
      </c>
      <c r="O83" s="17">
        <v>0.67</v>
      </c>
      <c r="P83" s="18">
        <f t="shared" si="9"/>
        <v>0.80400000000000005</v>
      </c>
      <c r="Q83" s="13" t="s">
        <v>197</v>
      </c>
    </row>
    <row r="84" spans="1:17">
      <c r="A84" s="12">
        <v>83</v>
      </c>
      <c r="C84" s="2" t="s">
        <v>194</v>
      </c>
      <c r="D84" s="1" t="s">
        <v>202</v>
      </c>
      <c r="E84" s="13" t="s">
        <v>828</v>
      </c>
      <c r="F84" s="2" t="s">
        <v>208</v>
      </c>
      <c r="G84" s="13" t="s">
        <v>822</v>
      </c>
      <c r="H84" s="14" t="s">
        <v>823</v>
      </c>
      <c r="I84" s="3">
        <v>2</v>
      </c>
      <c r="J84" s="16">
        <f>JG</f>
        <v>2</v>
      </c>
      <c r="K84" s="13">
        <v>1</v>
      </c>
      <c r="L84" s="16">
        <f t="shared" si="7"/>
        <v>2</v>
      </c>
      <c r="M84" s="16">
        <f>0.047*0.13*0.008*7850</f>
        <v>0.38370799999999999</v>
      </c>
      <c r="N84" s="18">
        <f t="shared" si="8"/>
        <v>7.6741600000000004E-4</v>
      </c>
      <c r="O84" s="17">
        <f>0.047*2*0.13</f>
        <v>1.222E-2</v>
      </c>
      <c r="P84" s="18">
        <f t="shared" si="9"/>
        <v>2.444E-2</v>
      </c>
      <c r="Q84" s="13" t="s">
        <v>197</v>
      </c>
    </row>
    <row r="85" spans="1:17">
      <c r="A85" s="13" t="s">
        <v>60</v>
      </c>
      <c r="N85" s="19">
        <f>SUBTOTAL(109,N2:N84)</f>
        <v>196.95315089219147</v>
      </c>
      <c r="P85" s="19">
        <f>SUBTOTAL(109,P2:P84)</f>
        <v>3430.159749811291</v>
      </c>
    </row>
  </sheetData>
  <autoFilter ref="A1:Q84">
    <sortState ref="A6:R604">
      <sortCondition ref="A6:A604"/>
    </sortState>
  </autoFilter>
  <sortState ref="A2:Q62">
    <sortCondition ref="A2:A62"/>
  </sortState>
  <phoneticPr fontId="2" type="noConversion"/>
  <conditionalFormatting sqref="A1:Q1048576">
    <cfRule type="expression" dxfId="17" priority="1">
      <formula>($A1="序号")+($A1="汇总")</formula>
    </cfRule>
    <cfRule type="expression" dxfId="16" priority="2">
      <formula>($A1&amp;$B1&amp;$C1&amp;$D1&amp;$E1&amp;$F1&amp;$G1&amp;$H1&amp;$I1&amp;$J1&amp;$K1&amp;$L1&amp;$M1&amp;$N1&amp;$O1&amp;$P1&amp;$Q1&lt;&gt;"")</formula>
    </cfRule>
  </conditionalFormatting>
  <printOptions horizontalCentered="1"/>
  <pageMargins left="0.51181102362204722" right="0.51181102362204722" top="0.59055118110236227" bottom="0.39370078740157483" header="0.31496062992125984" footer="0.31496062992125984"/>
  <pageSetup paperSize="9" scale="83" fitToHeight="0" orientation="landscape" r:id="rId1"/>
  <headerFooter alignWithMargins="0">
    <oddFooter>&amp;C第 &amp;P 页，共 &amp;N 页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Q43"/>
  <sheetViews>
    <sheetView workbookViewId="0">
      <pane ySplit="1" topLeftCell="A23" activePane="bottomLeft" state="frozen"/>
      <selection pane="bottomLeft" activeCell="P43" sqref="P43"/>
    </sheetView>
  </sheetViews>
  <sheetFormatPr defaultColWidth="9" defaultRowHeight="12"/>
  <cols>
    <col min="1" max="1" width="4.375" style="13" customWidth="1"/>
    <col min="2" max="2" width="9" style="2" customWidth="1"/>
    <col min="3" max="3" width="13.625" style="2" customWidth="1"/>
    <col min="4" max="4" width="10.5" style="1" customWidth="1"/>
    <col min="5" max="5" width="12.5" style="13" customWidth="1"/>
    <col min="6" max="6" width="15.625" style="2" customWidth="1"/>
    <col min="7" max="7" width="7.5" style="13" customWidth="1"/>
    <col min="8" max="8" width="6.125" style="13" customWidth="1"/>
    <col min="9" max="9" width="18.5" style="3" customWidth="1"/>
    <col min="10" max="10" width="9.625" style="17" customWidth="1"/>
    <col min="11" max="11" width="7.5" style="13" customWidth="1"/>
    <col min="12" max="12" width="9" style="17"/>
    <col min="13" max="13" width="9.375" style="17" customWidth="1"/>
    <col min="14" max="14" width="8.625" style="19" customWidth="1"/>
    <col min="15" max="15" width="8.625" style="17" customWidth="1"/>
    <col min="16" max="16" width="9.5" style="19" bestFit="1" customWidth="1"/>
    <col min="17" max="17" width="9.125" style="13" customWidth="1"/>
    <col min="18" max="16384" width="9" style="13"/>
  </cols>
  <sheetData>
    <row r="1" spans="1:17" s="1" customFormat="1" ht="24">
      <c r="A1" s="4" t="s">
        <v>0</v>
      </c>
      <c r="B1" s="5" t="s">
        <v>108</v>
      </c>
      <c r="C1" s="5" t="s">
        <v>2</v>
      </c>
      <c r="D1" s="4" t="s">
        <v>3</v>
      </c>
      <c r="E1" s="4" t="s">
        <v>4</v>
      </c>
      <c r="F1" s="5" t="s">
        <v>5</v>
      </c>
      <c r="G1" s="4" t="s">
        <v>6</v>
      </c>
      <c r="H1" s="4" t="s">
        <v>7</v>
      </c>
      <c r="I1" s="5" t="s">
        <v>8</v>
      </c>
      <c r="J1" s="9" t="s">
        <v>9</v>
      </c>
      <c r="K1" s="4" t="s">
        <v>10</v>
      </c>
      <c r="L1" s="9" t="s">
        <v>11</v>
      </c>
      <c r="M1" s="9" t="s">
        <v>12</v>
      </c>
      <c r="N1" s="10" t="s">
        <v>13</v>
      </c>
      <c r="O1" s="9" t="s">
        <v>14</v>
      </c>
      <c r="P1" s="10" t="s">
        <v>15</v>
      </c>
      <c r="Q1" s="4" t="s">
        <v>16</v>
      </c>
    </row>
    <row r="2" spans="1:17" ht="24">
      <c r="A2" s="12">
        <v>1</v>
      </c>
      <c r="B2" s="7" t="s">
        <v>109</v>
      </c>
      <c r="C2" s="5" t="s">
        <v>17</v>
      </c>
      <c r="D2" s="4" t="s">
        <v>18</v>
      </c>
      <c r="E2" s="12" t="s">
        <v>827</v>
      </c>
      <c r="F2" s="5" t="s">
        <v>20</v>
      </c>
      <c r="G2" s="12" t="s">
        <v>824</v>
      </c>
      <c r="H2" s="14" t="s">
        <v>823</v>
      </c>
      <c r="I2" s="11" t="s">
        <v>1018</v>
      </c>
      <c r="J2" s="16">
        <f>JG</f>
        <v>6.7639999999999993</v>
      </c>
      <c r="K2" s="12">
        <v>20</v>
      </c>
      <c r="L2" s="16">
        <f t="shared" ref="L2:L42" si="0">J2*K2</f>
        <v>135.27999999999997</v>
      </c>
      <c r="M2" s="16">
        <v>105</v>
      </c>
      <c r="N2" s="18">
        <f t="shared" ref="N2:N42" si="1">L2*M2*0.001</f>
        <v>14.204399999999998</v>
      </c>
      <c r="O2" s="16">
        <v>1.94</v>
      </c>
      <c r="P2" s="18">
        <f t="shared" ref="P2:P42" si="2">O2*L2</f>
        <v>262.44319999999993</v>
      </c>
      <c r="Q2" s="12"/>
    </row>
    <row r="3" spans="1:17" ht="24">
      <c r="A3" s="12">
        <v>2</v>
      </c>
      <c r="B3" s="7" t="s">
        <v>109</v>
      </c>
      <c r="C3" s="5" t="s">
        <v>17</v>
      </c>
      <c r="D3" s="4" t="s">
        <v>909</v>
      </c>
      <c r="E3" s="12" t="s">
        <v>974</v>
      </c>
      <c r="F3" s="5" t="s">
        <v>1057</v>
      </c>
      <c r="G3" s="12" t="s">
        <v>969</v>
      </c>
      <c r="H3" s="14" t="s">
        <v>970</v>
      </c>
      <c r="I3" s="11">
        <v>1</v>
      </c>
      <c r="J3" s="16">
        <f>JG</f>
        <v>1</v>
      </c>
      <c r="K3" s="12">
        <v>20</v>
      </c>
      <c r="L3" s="16">
        <f t="shared" si="0"/>
        <v>20</v>
      </c>
      <c r="M3" s="16">
        <f>0.7*0.66*0.036*7850</f>
        <v>130.56119999999999</v>
      </c>
      <c r="N3" s="18">
        <f t="shared" si="1"/>
        <v>2.6112239999999995</v>
      </c>
      <c r="O3" s="16">
        <f>0.7*0.66</f>
        <v>0.46199999999999997</v>
      </c>
      <c r="P3" s="18">
        <f t="shared" si="2"/>
        <v>9.2399999999999984</v>
      </c>
      <c r="Q3" s="12"/>
    </row>
    <row r="4" spans="1:17" ht="24">
      <c r="A4" s="12">
        <v>3</v>
      </c>
      <c r="B4" s="7" t="s">
        <v>109</v>
      </c>
      <c r="C4" s="5" t="s">
        <v>17</v>
      </c>
      <c r="D4" s="4" t="s">
        <v>909</v>
      </c>
      <c r="E4" s="12" t="s">
        <v>974</v>
      </c>
      <c r="F4" s="5" t="s">
        <v>712</v>
      </c>
      <c r="G4" s="12" t="s">
        <v>969</v>
      </c>
      <c r="H4" s="14" t="s">
        <v>970</v>
      </c>
      <c r="I4" s="11">
        <v>2</v>
      </c>
      <c r="J4" s="16">
        <f>JG</f>
        <v>2</v>
      </c>
      <c r="K4" s="12">
        <v>20</v>
      </c>
      <c r="L4" s="16">
        <f t="shared" si="0"/>
        <v>40</v>
      </c>
      <c r="M4" s="16"/>
      <c r="N4" s="18">
        <f t="shared" si="1"/>
        <v>0</v>
      </c>
      <c r="O4" s="16"/>
      <c r="P4" s="18">
        <f t="shared" si="2"/>
        <v>0</v>
      </c>
      <c r="Q4" s="12"/>
    </row>
    <row r="5" spans="1:17" ht="24">
      <c r="A5" s="12">
        <v>4</v>
      </c>
      <c r="B5" s="7" t="s">
        <v>109</v>
      </c>
      <c r="C5" s="5" t="s">
        <v>17</v>
      </c>
      <c r="D5" s="4" t="s">
        <v>909</v>
      </c>
      <c r="E5" s="12" t="s">
        <v>974</v>
      </c>
      <c r="F5" s="5" t="s">
        <v>712</v>
      </c>
      <c r="G5" s="12" t="s">
        <v>969</v>
      </c>
      <c r="H5" s="14" t="s">
        <v>970</v>
      </c>
      <c r="I5" s="11">
        <v>4</v>
      </c>
      <c r="J5" s="16">
        <f>JG</f>
        <v>4</v>
      </c>
      <c r="K5" s="12">
        <v>20</v>
      </c>
      <c r="L5" s="16">
        <f t="shared" si="0"/>
        <v>80</v>
      </c>
      <c r="M5" s="16"/>
      <c r="N5" s="18">
        <f t="shared" si="1"/>
        <v>0</v>
      </c>
      <c r="O5" s="16"/>
      <c r="P5" s="18">
        <f t="shared" si="2"/>
        <v>0</v>
      </c>
      <c r="Q5" s="12"/>
    </row>
    <row r="6" spans="1:17" ht="24">
      <c r="A6" s="12">
        <v>5</v>
      </c>
      <c r="B6" s="7" t="s">
        <v>109</v>
      </c>
      <c r="C6" s="5" t="s">
        <v>17</v>
      </c>
      <c r="D6" s="4" t="s">
        <v>909</v>
      </c>
      <c r="E6" s="12" t="s">
        <v>974</v>
      </c>
      <c r="F6" s="5" t="s">
        <v>712</v>
      </c>
      <c r="G6" s="12" t="s">
        <v>969</v>
      </c>
      <c r="H6" s="14" t="s">
        <v>970</v>
      </c>
      <c r="I6" s="11">
        <v>8</v>
      </c>
      <c r="J6" s="16">
        <f>JG</f>
        <v>8</v>
      </c>
      <c r="K6" s="12">
        <v>20</v>
      </c>
      <c r="L6" s="16">
        <f t="shared" si="0"/>
        <v>160</v>
      </c>
      <c r="M6" s="16"/>
      <c r="N6" s="18">
        <f t="shared" si="1"/>
        <v>0</v>
      </c>
      <c r="O6" s="16"/>
      <c r="P6" s="18">
        <f t="shared" si="2"/>
        <v>0</v>
      </c>
      <c r="Q6" s="12"/>
    </row>
    <row r="7" spans="1:17" ht="24">
      <c r="A7" s="12">
        <v>6</v>
      </c>
      <c r="B7" s="7" t="s">
        <v>109</v>
      </c>
      <c r="C7" s="5" t="s">
        <v>17</v>
      </c>
      <c r="D7" s="1" t="s">
        <v>19</v>
      </c>
      <c r="E7" s="13" t="s">
        <v>827</v>
      </c>
      <c r="F7" s="2" t="s">
        <v>21</v>
      </c>
      <c r="G7" s="12" t="s">
        <v>824</v>
      </c>
      <c r="H7" s="14" t="s">
        <v>823</v>
      </c>
      <c r="I7" s="11" t="s">
        <v>1019</v>
      </c>
      <c r="J7" s="16">
        <f>JG</f>
        <v>6.7579999999999991</v>
      </c>
      <c r="K7" s="13">
        <v>30</v>
      </c>
      <c r="L7" s="16">
        <f t="shared" si="0"/>
        <v>202.73999999999998</v>
      </c>
      <c r="M7" s="16">
        <v>121</v>
      </c>
      <c r="N7" s="18">
        <f t="shared" si="1"/>
        <v>24.531539999999996</v>
      </c>
      <c r="O7" s="16">
        <v>2.04</v>
      </c>
      <c r="P7" s="18">
        <f t="shared" si="2"/>
        <v>413.58959999999996</v>
      </c>
    </row>
    <row r="8" spans="1:17" ht="24">
      <c r="A8" s="12">
        <v>7</v>
      </c>
      <c r="B8" s="7" t="s">
        <v>109</v>
      </c>
      <c r="C8" s="5" t="s">
        <v>17</v>
      </c>
      <c r="D8" s="1" t="s">
        <v>909</v>
      </c>
      <c r="E8" s="13" t="s">
        <v>974</v>
      </c>
      <c r="F8" s="2" t="s">
        <v>1059</v>
      </c>
      <c r="G8" s="12" t="s">
        <v>969</v>
      </c>
      <c r="H8" s="14" t="s">
        <v>970</v>
      </c>
      <c r="I8" s="11">
        <v>1</v>
      </c>
      <c r="J8" s="16">
        <f>JG</f>
        <v>1</v>
      </c>
      <c r="K8" s="13">
        <v>30</v>
      </c>
      <c r="L8" s="16">
        <f t="shared" si="0"/>
        <v>30</v>
      </c>
      <c r="M8" s="16">
        <f>0.78*0.75*0.042*7850</f>
        <v>192.87450000000001</v>
      </c>
      <c r="N8" s="18">
        <f t="shared" si="1"/>
        <v>5.7862350000000005</v>
      </c>
      <c r="O8" s="16">
        <f>0.78*0.75</f>
        <v>0.58499999999999996</v>
      </c>
      <c r="P8" s="18">
        <f t="shared" si="2"/>
        <v>17.549999999999997</v>
      </c>
    </row>
    <row r="9" spans="1:17" ht="24">
      <c r="A9" s="12">
        <v>8</v>
      </c>
      <c r="B9" s="7" t="s">
        <v>109</v>
      </c>
      <c r="C9" s="5" t="s">
        <v>17</v>
      </c>
      <c r="D9" s="1" t="s">
        <v>909</v>
      </c>
      <c r="E9" s="13" t="s">
        <v>974</v>
      </c>
      <c r="F9" s="2" t="s">
        <v>712</v>
      </c>
      <c r="G9" s="12" t="s">
        <v>969</v>
      </c>
      <c r="H9" s="14" t="s">
        <v>970</v>
      </c>
      <c r="I9" s="11">
        <v>2</v>
      </c>
      <c r="J9" s="16">
        <f>JG</f>
        <v>2</v>
      </c>
      <c r="K9" s="13">
        <v>30</v>
      </c>
      <c r="L9" s="16">
        <f t="shared" si="0"/>
        <v>60</v>
      </c>
      <c r="M9" s="16"/>
      <c r="N9" s="18">
        <f t="shared" si="1"/>
        <v>0</v>
      </c>
      <c r="O9" s="16"/>
      <c r="P9" s="18">
        <f t="shared" si="2"/>
        <v>0</v>
      </c>
    </row>
    <row r="10" spans="1:17" ht="24">
      <c r="A10" s="12">
        <v>9</v>
      </c>
      <c r="B10" s="7" t="s">
        <v>109</v>
      </c>
      <c r="C10" s="5" t="s">
        <v>17</v>
      </c>
      <c r="D10" s="1" t="s">
        <v>909</v>
      </c>
      <c r="E10" s="13" t="s">
        <v>974</v>
      </c>
      <c r="F10" s="2" t="s">
        <v>712</v>
      </c>
      <c r="G10" s="12" t="s">
        <v>969</v>
      </c>
      <c r="H10" s="14" t="s">
        <v>970</v>
      </c>
      <c r="I10" s="11">
        <v>4</v>
      </c>
      <c r="J10" s="16">
        <f>JG</f>
        <v>4</v>
      </c>
      <c r="K10" s="13">
        <v>30</v>
      </c>
      <c r="L10" s="16">
        <f t="shared" si="0"/>
        <v>120</v>
      </c>
      <c r="M10" s="16"/>
      <c r="N10" s="18">
        <f t="shared" si="1"/>
        <v>0</v>
      </c>
      <c r="O10" s="16"/>
      <c r="P10" s="18">
        <f t="shared" si="2"/>
        <v>0</v>
      </c>
    </row>
    <row r="11" spans="1:17" ht="24">
      <c r="A11" s="12">
        <v>10</v>
      </c>
      <c r="B11" s="7" t="s">
        <v>109</v>
      </c>
      <c r="C11" s="5" t="s">
        <v>17</v>
      </c>
      <c r="D11" s="6" t="s">
        <v>909</v>
      </c>
      <c r="E11" s="14" t="s">
        <v>974</v>
      </c>
      <c r="F11" s="7" t="s">
        <v>712</v>
      </c>
      <c r="G11" s="12" t="s">
        <v>969</v>
      </c>
      <c r="H11" s="14" t="s">
        <v>970</v>
      </c>
      <c r="I11" s="8">
        <v>8</v>
      </c>
      <c r="J11" s="16">
        <f>JG</f>
        <v>8</v>
      </c>
      <c r="K11" s="13">
        <v>30</v>
      </c>
      <c r="L11" s="16">
        <f t="shared" si="0"/>
        <v>240</v>
      </c>
      <c r="M11" s="16"/>
      <c r="N11" s="18">
        <f t="shared" si="1"/>
        <v>0</v>
      </c>
      <c r="O11" s="16"/>
      <c r="P11" s="18">
        <f t="shared" si="2"/>
        <v>0</v>
      </c>
    </row>
    <row r="12" spans="1:17" ht="24">
      <c r="A12" s="12">
        <v>11</v>
      </c>
      <c r="B12" s="5" t="s">
        <v>110</v>
      </c>
      <c r="C12" s="5" t="s">
        <v>874</v>
      </c>
      <c r="D12" s="1" t="s">
        <v>32</v>
      </c>
      <c r="F12" s="2" t="s">
        <v>1020</v>
      </c>
      <c r="G12" s="12" t="s">
        <v>824</v>
      </c>
      <c r="H12" s="14" t="s">
        <v>823</v>
      </c>
      <c r="I12" s="11" t="s">
        <v>33</v>
      </c>
      <c r="J12" s="16">
        <f>JG</f>
        <v>6.75</v>
      </c>
      <c r="K12" s="13">
        <v>1</v>
      </c>
      <c r="L12" s="16">
        <f t="shared" si="0"/>
        <v>6.75</v>
      </c>
      <c r="M12" s="16">
        <v>55.8</v>
      </c>
      <c r="N12" s="18">
        <f t="shared" si="1"/>
        <v>0.37664999999999998</v>
      </c>
      <c r="O12" s="16">
        <v>1.35</v>
      </c>
      <c r="P12" s="18">
        <f t="shared" si="2"/>
        <v>9.1125000000000007</v>
      </c>
    </row>
    <row r="13" spans="1:17" ht="24">
      <c r="A13" s="12">
        <v>12</v>
      </c>
      <c r="B13" s="2" t="s">
        <v>110</v>
      </c>
      <c r="C13" s="2" t="s">
        <v>874</v>
      </c>
      <c r="D13" s="1" t="s">
        <v>22</v>
      </c>
      <c r="E13" s="13" t="s">
        <v>827</v>
      </c>
      <c r="F13" s="2" t="s">
        <v>28</v>
      </c>
      <c r="G13" s="12" t="s">
        <v>824</v>
      </c>
      <c r="H13" s="14" t="s">
        <v>823</v>
      </c>
      <c r="I13" s="3" t="s">
        <v>34</v>
      </c>
      <c r="J13" s="16">
        <f>JG</f>
        <v>8.75</v>
      </c>
      <c r="K13" s="13">
        <v>54</v>
      </c>
      <c r="L13" s="16">
        <f t="shared" si="0"/>
        <v>472.5</v>
      </c>
      <c r="M13" s="16">
        <v>78.099999999999994</v>
      </c>
      <c r="N13" s="18">
        <f t="shared" si="1"/>
        <v>36.902250000000002</v>
      </c>
      <c r="O13" s="16">
        <v>1.64</v>
      </c>
      <c r="P13" s="18">
        <f t="shared" si="2"/>
        <v>774.9</v>
      </c>
    </row>
    <row r="14" spans="1:17" ht="24">
      <c r="A14" s="12">
        <v>13</v>
      </c>
      <c r="B14" s="2" t="s">
        <v>110</v>
      </c>
      <c r="C14" s="2" t="s">
        <v>111</v>
      </c>
      <c r="D14" s="1" t="s">
        <v>39</v>
      </c>
      <c r="E14" s="13" t="s">
        <v>828</v>
      </c>
      <c r="F14" s="2" t="s">
        <v>40</v>
      </c>
      <c r="G14" s="12" t="s">
        <v>824</v>
      </c>
      <c r="H14" s="14" t="s">
        <v>823</v>
      </c>
      <c r="I14" s="3" t="s">
        <v>42</v>
      </c>
      <c r="J14" s="16">
        <f>JG</f>
        <v>216</v>
      </c>
      <c r="K14" s="13">
        <v>1</v>
      </c>
      <c r="L14" s="16">
        <f t="shared" si="0"/>
        <v>216</v>
      </c>
      <c r="M14" s="16">
        <f>0.12*0.312*0.0055*7850</f>
        <v>1.6164720000000001</v>
      </c>
      <c r="N14" s="18">
        <f t="shared" si="1"/>
        <v>0.34915795200000005</v>
      </c>
      <c r="O14" s="16">
        <f>0.12*2*0.312</f>
        <v>7.4880000000000002E-2</v>
      </c>
      <c r="P14" s="18">
        <f t="shared" si="2"/>
        <v>16.17408</v>
      </c>
    </row>
    <row r="15" spans="1:17" ht="60">
      <c r="A15" s="12">
        <v>14</v>
      </c>
      <c r="B15" s="2" t="s">
        <v>110</v>
      </c>
      <c r="C15" s="2" t="s">
        <v>111</v>
      </c>
      <c r="D15" s="1" t="s">
        <v>23</v>
      </c>
      <c r="E15" s="13" t="s">
        <v>827</v>
      </c>
      <c r="F15" s="2" t="s">
        <v>28</v>
      </c>
      <c r="G15" s="12" t="s">
        <v>824</v>
      </c>
      <c r="H15" s="14" t="s">
        <v>823</v>
      </c>
      <c r="I15" s="3" t="s">
        <v>35</v>
      </c>
      <c r="J15" s="16">
        <f>JG</f>
        <v>427.3</v>
      </c>
      <c r="K15" s="13">
        <v>1</v>
      </c>
      <c r="L15" s="16">
        <f t="shared" si="0"/>
        <v>427.3</v>
      </c>
      <c r="M15" s="16">
        <v>78.099999999999994</v>
      </c>
      <c r="N15" s="18">
        <f t="shared" si="1"/>
        <v>33.372129999999999</v>
      </c>
      <c r="O15" s="16">
        <v>1.64</v>
      </c>
      <c r="P15" s="18">
        <f t="shared" si="2"/>
        <v>700.77199999999993</v>
      </c>
    </row>
    <row r="16" spans="1:17" ht="24">
      <c r="A16" s="12">
        <v>15</v>
      </c>
      <c r="B16" s="2" t="s">
        <v>110</v>
      </c>
      <c r="C16" s="2" t="s">
        <v>111</v>
      </c>
      <c r="D16" s="1" t="s">
        <v>24</v>
      </c>
      <c r="E16" s="13" t="s">
        <v>827</v>
      </c>
      <c r="F16" s="2" t="s">
        <v>28</v>
      </c>
      <c r="G16" s="12" t="s">
        <v>824</v>
      </c>
      <c r="H16" s="14" t="s">
        <v>823</v>
      </c>
      <c r="I16" s="3" t="s">
        <v>36</v>
      </c>
      <c r="J16" s="16">
        <f>JG</f>
        <v>214.5</v>
      </c>
      <c r="K16" s="13">
        <v>1</v>
      </c>
      <c r="L16" s="16">
        <f t="shared" si="0"/>
        <v>214.5</v>
      </c>
      <c r="M16" s="16">
        <v>78.099999999999994</v>
      </c>
      <c r="N16" s="18">
        <f t="shared" si="1"/>
        <v>16.752449999999996</v>
      </c>
      <c r="O16" s="16">
        <v>1.64</v>
      </c>
      <c r="P16" s="18">
        <f t="shared" si="2"/>
        <v>351.78</v>
      </c>
    </row>
    <row r="17" spans="1:17" ht="36">
      <c r="A17" s="12">
        <v>16</v>
      </c>
      <c r="B17" s="2" t="s">
        <v>110</v>
      </c>
      <c r="C17" s="2" t="s">
        <v>111</v>
      </c>
      <c r="D17" s="1" t="s">
        <v>25</v>
      </c>
      <c r="E17" s="13" t="s">
        <v>827</v>
      </c>
      <c r="F17" s="2" t="s">
        <v>29</v>
      </c>
      <c r="G17" s="12" t="s">
        <v>824</v>
      </c>
      <c r="H17" s="14" t="s">
        <v>823</v>
      </c>
      <c r="I17" s="3" t="s">
        <v>37</v>
      </c>
      <c r="J17" s="16">
        <f>JG</f>
        <v>191.25</v>
      </c>
      <c r="K17" s="13">
        <v>1</v>
      </c>
      <c r="L17" s="16">
        <f t="shared" si="0"/>
        <v>191.25</v>
      </c>
      <c r="M17" s="16">
        <v>20.9</v>
      </c>
      <c r="N17" s="18">
        <f t="shared" si="1"/>
        <v>3.9971249999999996</v>
      </c>
      <c r="O17" s="16">
        <v>0.77500000000000002</v>
      </c>
      <c r="P17" s="18">
        <f t="shared" si="2"/>
        <v>148.21875</v>
      </c>
    </row>
    <row r="18" spans="1:17" ht="24">
      <c r="A18" s="12">
        <v>17</v>
      </c>
      <c r="B18" s="2" t="s">
        <v>110</v>
      </c>
      <c r="C18" s="2" t="s">
        <v>111</v>
      </c>
      <c r="D18" s="1" t="s">
        <v>39</v>
      </c>
      <c r="E18" s="13" t="s">
        <v>828</v>
      </c>
      <c r="F18" s="2" t="s">
        <v>40</v>
      </c>
      <c r="G18" s="12" t="s">
        <v>824</v>
      </c>
      <c r="H18" s="14" t="s">
        <v>823</v>
      </c>
      <c r="I18" s="3" t="s">
        <v>41</v>
      </c>
      <c r="J18" s="16">
        <f>JG</f>
        <v>164</v>
      </c>
      <c r="K18" s="13">
        <v>1</v>
      </c>
      <c r="L18" s="16">
        <f t="shared" si="0"/>
        <v>164</v>
      </c>
      <c r="M18" s="16">
        <f>0.12*0.312*0.0055*7850</f>
        <v>1.6164720000000001</v>
      </c>
      <c r="N18" s="18">
        <f t="shared" si="1"/>
        <v>0.26510140800000004</v>
      </c>
      <c r="O18" s="16">
        <f>0.12*2*0.312</f>
        <v>7.4880000000000002E-2</v>
      </c>
      <c r="P18" s="18">
        <f t="shared" si="2"/>
        <v>12.28032</v>
      </c>
    </row>
    <row r="19" spans="1:17" ht="24">
      <c r="A19" s="12">
        <v>18</v>
      </c>
      <c r="B19" s="2" t="s">
        <v>110</v>
      </c>
      <c r="C19" s="2" t="s">
        <v>111</v>
      </c>
      <c r="D19" s="1" t="s">
        <v>26</v>
      </c>
      <c r="E19" s="13" t="s">
        <v>827</v>
      </c>
      <c r="F19" s="2" t="s">
        <v>30</v>
      </c>
      <c r="G19" s="12" t="s">
        <v>824</v>
      </c>
      <c r="H19" s="14" t="s">
        <v>823</v>
      </c>
      <c r="I19" s="3" t="s">
        <v>38</v>
      </c>
      <c r="J19" s="16">
        <f>JG</f>
        <v>5.15</v>
      </c>
      <c r="K19" s="13">
        <v>1</v>
      </c>
      <c r="L19" s="16">
        <f t="shared" si="0"/>
        <v>5.15</v>
      </c>
      <c r="M19" s="16">
        <v>29</v>
      </c>
      <c r="N19" s="18">
        <f t="shared" si="1"/>
        <v>0.14935000000000004</v>
      </c>
      <c r="O19" s="16">
        <v>0.97399999999999998</v>
      </c>
      <c r="P19" s="18">
        <f t="shared" si="2"/>
        <v>5.0161000000000007</v>
      </c>
    </row>
    <row r="20" spans="1:17" ht="24">
      <c r="A20" s="12">
        <v>19</v>
      </c>
      <c r="B20" s="2" t="s">
        <v>110</v>
      </c>
      <c r="C20" s="2" t="s">
        <v>111</v>
      </c>
      <c r="D20" s="1" t="s">
        <v>39</v>
      </c>
      <c r="E20" s="13" t="s">
        <v>828</v>
      </c>
      <c r="F20" s="2" t="s">
        <v>40</v>
      </c>
      <c r="G20" s="12" t="s">
        <v>824</v>
      </c>
      <c r="H20" s="14" t="s">
        <v>823</v>
      </c>
      <c r="I20" s="3">
        <v>4</v>
      </c>
      <c r="J20" s="16">
        <f>JG</f>
        <v>4</v>
      </c>
      <c r="K20" s="13">
        <v>1</v>
      </c>
      <c r="L20" s="16">
        <f t="shared" si="0"/>
        <v>4</v>
      </c>
      <c r="M20" s="16">
        <f>0.12*0.312*0.0055*7850</f>
        <v>1.6164720000000001</v>
      </c>
      <c r="N20" s="18">
        <f t="shared" si="1"/>
        <v>6.4658880000000004E-3</v>
      </c>
      <c r="O20" s="16">
        <f>0.12*2*0.312</f>
        <v>7.4880000000000002E-2</v>
      </c>
      <c r="P20" s="18">
        <f t="shared" si="2"/>
        <v>0.29952000000000001</v>
      </c>
    </row>
    <row r="21" spans="1:17" ht="24">
      <c r="A21" s="12">
        <v>20</v>
      </c>
      <c r="B21" s="2" t="s">
        <v>110</v>
      </c>
      <c r="C21" s="2" t="s">
        <v>111</v>
      </c>
      <c r="D21" s="1" t="s">
        <v>27</v>
      </c>
      <c r="E21" s="13" t="s">
        <v>830</v>
      </c>
      <c r="F21" s="2" t="s">
        <v>31</v>
      </c>
      <c r="G21" s="12" t="s">
        <v>824</v>
      </c>
      <c r="H21" s="14" t="s">
        <v>823</v>
      </c>
      <c r="I21" s="3" t="s">
        <v>43</v>
      </c>
      <c r="J21" s="16">
        <f>JG</f>
        <v>5.3265842713694109</v>
      </c>
      <c r="K21" s="13">
        <v>4</v>
      </c>
      <c r="L21" s="16">
        <f t="shared" si="0"/>
        <v>21.306337085477644</v>
      </c>
      <c r="M21" s="16">
        <v>14.5</v>
      </c>
      <c r="N21" s="18">
        <f t="shared" si="1"/>
        <v>0.30894188773942588</v>
      </c>
      <c r="O21" s="16">
        <v>0.49299999999999999</v>
      </c>
      <c r="P21" s="18">
        <f t="shared" si="2"/>
        <v>10.504024183140478</v>
      </c>
    </row>
    <row r="22" spans="1:17" ht="24">
      <c r="A22" s="12">
        <v>21</v>
      </c>
      <c r="B22" s="2" t="s">
        <v>110</v>
      </c>
      <c r="C22" s="2" t="s">
        <v>111</v>
      </c>
      <c r="D22" s="1" t="s">
        <v>27</v>
      </c>
      <c r="E22" s="13" t="s">
        <v>830</v>
      </c>
      <c r="F22" s="2" t="s">
        <v>31</v>
      </c>
      <c r="G22" s="12" t="s">
        <v>824</v>
      </c>
      <c r="H22" s="14" t="s">
        <v>823</v>
      </c>
      <c r="I22" s="3" t="s">
        <v>44</v>
      </c>
      <c r="J22" s="16">
        <f>JG</f>
        <v>5.1478150704935004</v>
      </c>
      <c r="K22" s="13">
        <v>12</v>
      </c>
      <c r="L22" s="16">
        <f t="shared" si="0"/>
        <v>61.773780845922005</v>
      </c>
      <c r="M22" s="16">
        <v>14.5</v>
      </c>
      <c r="N22" s="18">
        <f t="shared" si="1"/>
        <v>0.8957198222658691</v>
      </c>
      <c r="O22" s="16">
        <v>0.49299999999999999</v>
      </c>
      <c r="P22" s="18">
        <f t="shared" si="2"/>
        <v>30.454473957039546</v>
      </c>
    </row>
    <row r="23" spans="1:17" ht="24">
      <c r="A23" s="12">
        <v>22</v>
      </c>
      <c r="B23" s="2" t="s">
        <v>110</v>
      </c>
      <c r="C23" s="2" t="s">
        <v>111</v>
      </c>
      <c r="D23" s="1" t="s">
        <v>27</v>
      </c>
      <c r="E23" s="13" t="s">
        <v>830</v>
      </c>
      <c r="F23" s="2" t="s">
        <v>31</v>
      </c>
      <c r="G23" s="12" t="s">
        <v>824</v>
      </c>
      <c r="H23" s="14" t="s">
        <v>823</v>
      </c>
      <c r="I23" s="3" t="s">
        <v>45</v>
      </c>
      <c r="J23" s="16">
        <f>JG</f>
        <v>5.4083269131959844</v>
      </c>
      <c r="K23" s="13">
        <v>4</v>
      </c>
      <c r="L23" s="16">
        <f t="shared" si="0"/>
        <v>21.633307652783937</v>
      </c>
      <c r="M23" s="16">
        <v>14.5</v>
      </c>
      <c r="N23" s="18">
        <f t="shared" si="1"/>
        <v>0.31368296096536713</v>
      </c>
      <c r="O23" s="16">
        <v>0.49299999999999999</v>
      </c>
      <c r="P23" s="18">
        <f t="shared" si="2"/>
        <v>10.665220672822482</v>
      </c>
    </row>
    <row r="24" spans="1:17" ht="24">
      <c r="A24" s="12">
        <v>23</v>
      </c>
      <c r="B24" s="2" t="s">
        <v>110</v>
      </c>
      <c r="C24" s="2" t="s">
        <v>111</v>
      </c>
      <c r="D24" s="1" t="s">
        <v>27</v>
      </c>
      <c r="E24" s="13" t="s">
        <v>830</v>
      </c>
      <c r="F24" s="2" t="s">
        <v>31</v>
      </c>
      <c r="G24" s="12" t="s">
        <v>824</v>
      </c>
      <c r="H24" s="14" t="s">
        <v>823</v>
      </c>
      <c r="I24" s="3" t="s">
        <v>44</v>
      </c>
      <c r="J24" s="16">
        <f>JG</f>
        <v>5.1478150704935004</v>
      </c>
      <c r="K24" s="13">
        <v>4</v>
      </c>
      <c r="L24" s="16">
        <f t="shared" si="0"/>
        <v>20.591260281974002</v>
      </c>
      <c r="M24" s="16">
        <v>14.5</v>
      </c>
      <c r="N24" s="18">
        <f t="shared" si="1"/>
        <v>0.298573274088623</v>
      </c>
      <c r="O24" s="16">
        <v>0.49299999999999999</v>
      </c>
      <c r="P24" s="18">
        <f t="shared" si="2"/>
        <v>10.151491319013182</v>
      </c>
    </row>
    <row r="25" spans="1:17" ht="24">
      <c r="A25" s="12">
        <v>24</v>
      </c>
      <c r="B25" s="2" t="s">
        <v>110</v>
      </c>
      <c r="C25" s="2" t="s">
        <v>111</v>
      </c>
      <c r="D25" s="1" t="s">
        <v>27</v>
      </c>
      <c r="E25" s="13" t="s">
        <v>830</v>
      </c>
      <c r="F25" s="2" t="s">
        <v>31</v>
      </c>
      <c r="G25" s="12" t="s">
        <v>824</v>
      </c>
      <c r="H25" s="14" t="s">
        <v>823</v>
      </c>
      <c r="I25" s="3" t="s">
        <v>46</v>
      </c>
      <c r="J25" s="16">
        <f>JG</f>
        <v>5.2607627773926469</v>
      </c>
      <c r="K25" s="13">
        <v>4</v>
      </c>
      <c r="L25" s="16">
        <f t="shared" si="0"/>
        <v>21.043051109570587</v>
      </c>
      <c r="M25" s="16">
        <v>14.5</v>
      </c>
      <c r="N25" s="18">
        <f t="shared" si="1"/>
        <v>0.30512424108877356</v>
      </c>
      <c r="O25" s="16">
        <v>0.49299999999999999</v>
      </c>
      <c r="P25" s="18">
        <f t="shared" si="2"/>
        <v>10.3742241970183</v>
      </c>
    </row>
    <row r="26" spans="1:17" ht="24">
      <c r="A26" s="12">
        <v>25</v>
      </c>
      <c r="B26" s="2" t="s">
        <v>110</v>
      </c>
      <c r="C26" s="2" t="s">
        <v>111</v>
      </c>
      <c r="D26" s="1" t="s">
        <v>27</v>
      </c>
      <c r="E26" s="13" t="s">
        <v>830</v>
      </c>
      <c r="F26" s="2" t="s">
        <v>31</v>
      </c>
      <c r="G26" s="12" t="s">
        <v>824</v>
      </c>
      <c r="H26" s="14" t="s">
        <v>823</v>
      </c>
      <c r="I26" s="3" t="s">
        <v>44</v>
      </c>
      <c r="J26" s="16">
        <f>JG</f>
        <v>5.1478150704935004</v>
      </c>
      <c r="K26" s="13">
        <v>8</v>
      </c>
      <c r="L26" s="16">
        <f t="shared" si="0"/>
        <v>41.182520563948003</v>
      </c>
      <c r="M26" s="16">
        <v>14.5</v>
      </c>
      <c r="N26" s="18">
        <f t="shared" si="1"/>
        <v>0.59714654817724599</v>
      </c>
      <c r="O26" s="16">
        <v>0.49299999999999999</v>
      </c>
      <c r="P26" s="18">
        <f t="shared" si="2"/>
        <v>20.302982638026364</v>
      </c>
    </row>
    <row r="27" spans="1:17" ht="24">
      <c r="A27" s="12">
        <v>26</v>
      </c>
      <c r="B27" s="2" t="s">
        <v>110</v>
      </c>
      <c r="C27" s="2" t="s">
        <v>111</v>
      </c>
      <c r="D27" s="1" t="s">
        <v>27</v>
      </c>
      <c r="E27" s="13" t="s">
        <v>830</v>
      </c>
      <c r="F27" s="2" t="s">
        <v>31</v>
      </c>
      <c r="G27" s="12" t="s">
        <v>824</v>
      </c>
      <c r="H27" s="14" t="s">
        <v>823</v>
      </c>
      <c r="I27" s="3" t="s">
        <v>47</v>
      </c>
      <c r="J27" s="16">
        <f>JG</f>
        <v>5.0537115073973107</v>
      </c>
      <c r="K27" s="13">
        <v>4</v>
      </c>
      <c r="L27" s="16">
        <f t="shared" si="0"/>
        <v>20.214846029589243</v>
      </c>
      <c r="M27" s="16">
        <v>14.5</v>
      </c>
      <c r="N27" s="18">
        <f t="shared" si="1"/>
        <v>0.29311526742904404</v>
      </c>
      <c r="O27" s="16">
        <v>0.49299999999999999</v>
      </c>
      <c r="P27" s="18">
        <f t="shared" si="2"/>
        <v>9.9659190925874963</v>
      </c>
    </row>
    <row r="28" spans="1:17" ht="24">
      <c r="A28" s="12">
        <v>27</v>
      </c>
      <c r="B28" s="2" t="s">
        <v>110</v>
      </c>
      <c r="C28" s="2" t="s">
        <v>111</v>
      </c>
      <c r="D28" s="1" t="s">
        <v>27</v>
      </c>
      <c r="E28" s="13" t="s">
        <v>830</v>
      </c>
      <c r="F28" s="2" t="s">
        <v>31</v>
      </c>
      <c r="G28" s="12" t="s">
        <v>824</v>
      </c>
      <c r="H28" s="14" t="s">
        <v>823</v>
      </c>
      <c r="I28" s="3" t="s">
        <v>45</v>
      </c>
      <c r="J28" s="16">
        <f>JG</f>
        <v>5.4083269131959844</v>
      </c>
      <c r="K28" s="13">
        <v>4</v>
      </c>
      <c r="L28" s="16">
        <f t="shared" si="0"/>
        <v>21.633307652783937</v>
      </c>
      <c r="M28" s="16">
        <v>14.5</v>
      </c>
      <c r="N28" s="18">
        <f t="shared" si="1"/>
        <v>0.31368296096536713</v>
      </c>
      <c r="O28" s="16">
        <v>0.49299999999999999</v>
      </c>
      <c r="P28" s="18">
        <f t="shared" si="2"/>
        <v>10.665220672822482</v>
      </c>
    </row>
    <row r="29" spans="1:17" ht="24">
      <c r="A29" s="12">
        <v>28</v>
      </c>
      <c r="B29" s="2" t="s">
        <v>110</v>
      </c>
      <c r="C29" s="2" t="s">
        <v>111</v>
      </c>
      <c r="D29" s="1" t="s">
        <v>27</v>
      </c>
      <c r="E29" s="13" t="s">
        <v>830</v>
      </c>
      <c r="F29" s="2" t="s">
        <v>31</v>
      </c>
      <c r="G29" s="12" t="s">
        <v>824</v>
      </c>
      <c r="H29" s="14" t="s">
        <v>823</v>
      </c>
      <c r="I29" s="3" t="s">
        <v>44</v>
      </c>
      <c r="J29" s="16">
        <f>JG</f>
        <v>5.1478150704935004</v>
      </c>
      <c r="K29" s="13">
        <v>12</v>
      </c>
      <c r="L29" s="16">
        <f t="shared" si="0"/>
        <v>61.773780845922005</v>
      </c>
      <c r="M29" s="16">
        <v>14.5</v>
      </c>
      <c r="N29" s="18">
        <f t="shared" si="1"/>
        <v>0.8957198222658691</v>
      </c>
      <c r="O29" s="16">
        <v>0.49299999999999999</v>
      </c>
      <c r="P29" s="18">
        <f t="shared" si="2"/>
        <v>30.454473957039546</v>
      </c>
    </row>
    <row r="30" spans="1:17" ht="24">
      <c r="A30" s="12">
        <v>29</v>
      </c>
      <c r="B30" s="2" t="s">
        <v>110</v>
      </c>
      <c r="C30" s="2" t="s">
        <v>111</v>
      </c>
      <c r="D30" s="1" t="s">
        <v>27</v>
      </c>
      <c r="E30" s="13" t="s">
        <v>830</v>
      </c>
      <c r="F30" s="2" t="s">
        <v>31</v>
      </c>
      <c r="G30" s="12" t="s">
        <v>824</v>
      </c>
      <c r="H30" s="14" t="s">
        <v>823</v>
      </c>
      <c r="I30" s="3" t="s">
        <v>48</v>
      </c>
      <c r="J30" s="16">
        <f>JG</f>
        <v>5.0311529493745271</v>
      </c>
      <c r="K30" s="13">
        <v>4</v>
      </c>
      <c r="L30" s="16">
        <f t="shared" si="0"/>
        <v>20.124611797498108</v>
      </c>
      <c r="M30" s="16">
        <v>14.5</v>
      </c>
      <c r="N30" s="18">
        <f t="shared" si="1"/>
        <v>0.29180687106372255</v>
      </c>
      <c r="O30" s="16">
        <v>0.49299999999999999</v>
      </c>
      <c r="P30" s="18">
        <f t="shared" si="2"/>
        <v>9.921433616166567</v>
      </c>
    </row>
    <row r="31" spans="1:17">
      <c r="A31" s="12">
        <v>30</v>
      </c>
      <c r="B31" s="2" t="s">
        <v>156</v>
      </c>
      <c r="C31" s="2" t="s">
        <v>49</v>
      </c>
      <c r="D31" s="1" t="s">
        <v>23</v>
      </c>
      <c r="E31" s="13" t="s">
        <v>827</v>
      </c>
      <c r="F31" s="2" t="s">
        <v>28</v>
      </c>
      <c r="G31" s="12" t="s">
        <v>824</v>
      </c>
      <c r="H31" s="14" t="s">
        <v>823</v>
      </c>
      <c r="I31" s="3">
        <v>7</v>
      </c>
      <c r="J31" s="16">
        <f>JG</f>
        <v>7</v>
      </c>
      <c r="K31" s="13">
        <v>1</v>
      </c>
      <c r="L31" s="16">
        <f t="shared" si="0"/>
        <v>7</v>
      </c>
      <c r="M31" s="16">
        <v>78.099999999999994</v>
      </c>
      <c r="N31" s="18">
        <f t="shared" si="1"/>
        <v>0.54669999999999996</v>
      </c>
      <c r="O31" s="16">
        <v>1.64</v>
      </c>
      <c r="P31" s="18">
        <f t="shared" si="2"/>
        <v>11.479999999999999</v>
      </c>
    </row>
    <row r="32" spans="1:17" ht="24">
      <c r="A32" s="12">
        <v>31</v>
      </c>
      <c r="C32" s="2" t="s">
        <v>49</v>
      </c>
      <c r="D32" s="1" t="s">
        <v>50</v>
      </c>
      <c r="F32" s="2" t="s">
        <v>991</v>
      </c>
      <c r="G32" s="12" t="s">
        <v>824</v>
      </c>
      <c r="H32" s="14" t="s">
        <v>823</v>
      </c>
      <c r="I32" s="3" t="s">
        <v>52</v>
      </c>
      <c r="J32" s="16">
        <f>JG</f>
        <v>11.280070921762858</v>
      </c>
      <c r="K32" s="13">
        <v>2</v>
      </c>
      <c r="L32" s="16">
        <f t="shared" si="0"/>
        <v>22.560141843525717</v>
      </c>
      <c r="M32" s="16">
        <v>49.9</v>
      </c>
      <c r="N32" s="18">
        <f t="shared" si="1"/>
        <v>1.1257510779919333</v>
      </c>
      <c r="O32" s="16">
        <v>1.1599999999999999</v>
      </c>
      <c r="P32" s="18">
        <f t="shared" si="2"/>
        <v>26.169764538489829</v>
      </c>
      <c r="Q32" s="13" t="s">
        <v>86</v>
      </c>
    </row>
    <row r="33" spans="1:17" ht="24">
      <c r="A33" s="12">
        <v>32</v>
      </c>
      <c r="C33" s="2" t="s">
        <v>49</v>
      </c>
      <c r="D33" s="1" t="s">
        <v>50</v>
      </c>
      <c r="F33" s="2" t="s">
        <v>991</v>
      </c>
      <c r="G33" s="12" t="s">
        <v>824</v>
      </c>
      <c r="H33" s="14" t="s">
        <v>823</v>
      </c>
      <c r="I33" s="3" t="s">
        <v>53</v>
      </c>
      <c r="J33" s="16">
        <f>JG</f>
        <v>10.499523798725349</v>
      </c>
      <c r="K33" s="13">
        <v>2</v>
      </c>
      <c r="L33" s="16">
        <f t="shared" si="0"/>
        <v>20.999047597450698</v>
      </c>
      <c r="M33" s="16">
        <v>49.9</v>
      </c>
      <c r="N33" s="18">
        <f t="shared" si="1"/>
        <v>1.0478524751127898</v>
      </c>
      <c r="O33" s="16">
        <v>1.1599999999999999</v>
      </c>
      <c r="P33" s="18">
        <f t="shared" si="2"/>
        <v>24.358895213042807</v>
      </c>
      <c r="Q33" s="13" t="s">
        <v>86</v>
      </c>
    </row>
    <row r="34" spans="1:17" ht="24">
      <c r="A34" s="12">
        <v>33</v>
      </c>
      <c r="C34" s="2" t="s">
        <v>49</v>
      </c>
      <c r="D34" s="1" t="s">
        <v>50</v>
      </c>
      <c r="F34" s="2" t="s">
        <v>991</v>
      </c>
      <c r="G34" s="12" t="s">
        <v>824</v>
      </c>
      <c r="H34" s="14" t="s">
        <v>823</v>
      </c>
      <c r="I34" s="3" t="s">
        <v>54</v>
      </c>
      <c r="J34" s="16">
        <f>JG</f>
        <v>9.7590983190046821</v>
      </c>
      <c r="K34" s="13">
        <v>2</v>
      </c>
      <c r="L34" s="16">
        <f t="shared" si="0"/>
        <v>19.518196638009364</v>
      </c>
      <c r="M34" s="16">
        <v>49.9</v>
      </c>
      <c r="N34" s="18">
        <f t="shared" si="1"/>
        <v>0.97395801223666734</v>
      </c>
      <c r="O34" s="16">
        <v>1.1599999999999999</v>
      </c>
      <c r="P34" s="18">
        <f t="shared" si="2"/>
        <v>22.641108100090861</v>
      </c>
      <c r="Q34" s="13" t="s">
        <v>86</v>
      </c>
    </row>
    <row r="35" spans="1:17" ht="24">
      <c r="A35" s="12">
        <v>34</v>
      </c>
      <c r="C35" s="2" t="s">
        <v>49</v>
      </c>
      <c r="D35" s="1" t="s">
        <v>50</v>
      </c>
      <c r="F35" s="2" t="s">
        <v>991</v>
      </c>
      <c r="G35" s="12" t="s">
        <v>824</v>
      </c>
      <c r="H35" s="14" t="s">
        <v>823</v>
      </c>
      <c r="I35" s="3" t="s">
        <v>52</v>
      </c>
      <c r="J35" s="16">
        <f>JG</f>
        <v>11.280070921762858</v>
      </c>
      <c r="K35" s="13">
        <v>2</v>
      </c>
      <c r="L35" s="16">
        <f t="shared" si="0"/>
        <v>22.560141843525717</v>
      </c>
      <c r="M35" s="16">
        <v>49.9</v>
      </c>
      <c r="N35" s="18">
        <f t="shared" si="1"/>
        <v>1.1257510779919333</v>
      </c>
      <c r="O35" s="16">
        <v>1.1599999999999999</v>
      </c>
      <c r="P35" s="18">
        <f t="shared" si="2"/>
        <v>26.169764538489829</v>
      </c>
      <c r="Q35" s="13" t="s">
        <v>86</v>
      </c>
    </row>
    <row r="36" spans="1:17" ht="24">
      <c r="A36" s="12">
        <v>35</v>
      </c>
      <c r="C36" s="2" t="s">
        <v>49</v>
      </c>
      <c r="D36" s="1" t="s">
        <v>50</v>
      </c>
      <c r="F36" s="2" t="s">
        <v>991</v>
      </c>
      <c r="G36" s="12" t="s">
        <v>824</v>
      </c>
      <c r="H36" s="14" t="s">
        <v>823</v>
      </c>
      <c r="I36" s="3" t="s">
        <v>55</v>
      </c>
      <c r="J36" s="16">
        <f>JG</f>
        <v>9.6166522241370451</v>
      </c>
      <c r="K36" s="13">
        <v>2</v>
      </c>
      <c r="L36" s="16">
        <f t="shared" si="0"/>
        <v>19.23330444827409</v>
      </c>
      <c r="M36" s="16">
        <v>49.9</v>
      </c>
      <c r="N36" s="18">
        <f t="shared" si="1"/>
        <v>0.95974189196887716</v>
      </c>
      <c r="O36" s="16">
        <v>1.1599999999999999</v>
      </c>
      <c r="P36" s="18">
        <f t="shared" si="2"/>
        <v>22.310633159997945</v>
      </c>
      <c r="Q36" s="13" t="s">
        <v>86</v>
      </c>
    </row>
    <row r="37" spans="1:17">
      <c r="A37" s="12">
        <v>36</v>
      </c>
      <c r="B37" s="2" t="s">
        <v>156</v>
      </c>
      <c r="C37" s="2" t="s">
        <v>56</v>
      </c>
      <c r="D37" s="1" t="s">
        <v>23</v>
      </c>
      <c r="E37" s="13" t="s">
        <v>827</v>
      </c>
      <c r="F37" s="2" t="s">
        <v>28</v>
      </c>
      <c r="G37" s="12" t="s">
        <v>824</v>
      </c>
      <c r="H37" s="14" t="s">
        <v>823</v>
      </c>
      <c r="I37" s="3">
        <v>9</v>
      </c>
      <c r="J37" s="16">
        <f>JG</f>
        <v>9</v>
      </c>
      <c r="K37" s="13">
        <v>1</v>
      </c>
      <c r="L37" s="16">
        <f t="shared" si="0"/>
        <v>9</v>
      </c>
      <c r="M37" s="16">
        <v>78.099999999999994</v>
      </c>
      <c r="N37" s="18">
        <f t="shared" si="1"/>
        <v>0.70289999999999997</v>
      </c>
      <c r="O37" s="16">
        <v>1.64</v>
      </c>
      <c r="P37" s="18">
        <f t="shared" si="2"/>
        <v>14.76</v>
      </c>
    </row>
    <row r="38" spans="1:17" ht="24">
      <c r="A38" s="12">
        <v>37</v>
      </c>
      <c r="C38" s="2" t="s">
        <v>57</v>
      </c>
      <c r="D38" s="1" t="s">
        <v>50</v>
      </c>
      <c r="F38" s="2" t="s">
        <v>991</v>
      </c>
      <c r="G38" s="12" t="s">
        <v>824</v>
      </c>
      <c r="H38" s="14" t="s">
        <v>823</v>
      </c>
      <c r="I38" s="3" t="s">
        <v>52</v>
      </c>
      <c r="J38" s="16">
        <f>JG</f>
        <v>11.280070921762858</v>
      </c>
      <c r="K38" s="13">
        <v>2</v>
      </c>
      <c r="L38" s="16">
        <f t="shared" si="0"/>
        <v>22.560141843525717</v>
      </c>
      <c r="M38" s="16">
        <v>49.9</v>
      </c>
      <c r="N38" s="18">
        <f t="shared" si="1"/>
        <v>1.1257510779919333</v>
      </c>
      <c r="O38" s="16">
        <v>1.1599999999999999</v>
      </c>
      <c r="P38" s="18">
        <f t="shared" si="2"/>
        <v>26.169764538489829</v>
      </c>
      <c r="Q38" s="13" t="s">
        <v>86</v>
      </c>
    </row>
    <row r="39" spans="1:17" ht="24">
      <c r="A39" s="12">
        <v>38</v>
      </c>
      <c r="C39" s="2" t="s">
        <v>57</v>
      </c>
      <c r="D39" s="1" t="s">
        <v>50</v>
      </c>
      <c r="F39" s="2" t="s">
        <v>991</v>
      </c>
      <c r="G39" s="12" t="s">
        <v>824</v>
      </c>
      <c r="H39" s="14" t="s">
        <v>823</v>
      </c>
      <c r="I39" s="3" t="s">
        <v>53</v>
      </c>
      <c r="J39" s="16">
        <f>JG</f>
        <v>10.499523798725349</v>
      </c>
      <c r="K39" s="13">
        <v>2</v>
      </c>
      <c r="L39" s="16">
        <f t="shared" si="0"/>
        <v>20.999047597450698</v>
      </c>
      <c r="M39" s="16">
        <v>49.9</v>
      </c>
      <c r="N39" s="18">
        <f t="shared" si="1"/>
        <v>1.0478524751127898</v>
      </c>
      <c r="O39" s="16">
        <v>1.1599999999999999</v>
      </c>
      <c r="P39" s="18">
        <f t="shared" si="2"/>
        <v>24.358895213042807</v>
      </c>
      <c r="Q39" s="13" t="s">
        <v>86</v>
      </c>
    </row>
    <row r="40" spans="1:17" ht="24">
      <c r="A40" s="12">
        <v>39</v>
      </c>
      <c r="C40" s="2" t="s">
        <v>57</v>
      </c>
      <c r="D40" s="1" t="s">
        <v>50</v>
      </c>
      <c r="F40" s="2" t="s">
        <v>991</v>
      </c>
      <c r="G40" s="12" t="s">
        <v>824</v>
      </c>
      <c r="H40" s="14" t="s">
        <v>823</v>
      </c>
      <c r="I40" s="3" t="s">
        <v>58</v>
      </c>
      <c r="J40" s="16">
        <f>JG</f>
        <v>9.7590983190046821</v>
      </c>
      <c r="K40" s="13">
        <v>2</v>
      </c>
      <c r="L40" s="16">
        <f t="shared" si="0"/>
        <v>19.518196638009364</v>
      </c>
      <c r="M40" s="16">
        <v>49.9</v>
      </c>
      <c r="N40" s="18">
        <f t="shared" si="1"/>
        <v>0.97395801223666734</v>
      </c>
      <c r="O40" s="16">
        <v>1.1599999999999999</v>
      </c>
      <c r="P40" s="18">
        <f t="shared" si="2"/>
        <v>22.641108100090861</v>
      </c>
      <c r="Q40" s="13" t="s">
        <v>86</v>
      </c>
    </row>
    <row r="41" spans="1:17" ht="24">
      <c r="A41" s="12">
        <v>40</v>
      </c>
      <c r="C41" s="2" t="s">
        <v>57</v>
      </c>
      <c r="D41" s="1" t="s">
        <v>50</v>
      </c>
      <c r="F41" s="2" t="s">
        <v>991</v>
      </c>
      <c r="G41" s="12" t="s">
        <v>824</v>
      </c>
      <c r="H41" s="14" t="s">
        <v>823</v>
      </c>
      <c r="I41" s="3" t="s">
        <v>52</v>
      </c>
      <c r="J41" s="16">
        <f>JG</f>
        <v>11.280070921762858</v>
      </c>
      <c r="K41" s="13">
        <v>2</v>
      </c>
      <c r="L41" s="16">
        <f t="shared" si="0"/>
        <v>22.560141843525717</v>
      </c>
      <c r="M41" s="16">
        <v>49.9</v>
      </c>
      <c r="N41" s="18">
        <f t="shared" si="1"/>
        <v>1.1257510779919333</v>
      </c>
      <c r="O41" s="16">
        <v>1.1599999999999999</v>
      </c>
      <c r="P41" s="18">
        <f t="shared" si="2"/>
        <v>26.169764538489829</v>
      </c>
      <c r="Q41" s="13" t="s">
        <v>86</v>
      </c>
    </row>
    <row r="42" spans="1:17" ht="24">
      <c r="A42" s="12">
        <v>41</v>
      </c>
      <c r="C42" s="2" t="s">
        <v>57</v>
      </c>
      <c r="D42" s="1" t="s">
        <v>50</v>
      </c>
      <c r="F42" s="2" t="s">
        <v>991</v>
      </c>
      <c r="G42" s="12" t="s">
        <v>824</v>
      </c>
      <c r="H42" s="14" t="s">
        <v>823</v>
      </c>
      <c r="I42" s="3" t="s">
        <v>59</v>
      </c>
      <c r="J42" s="16">
        <f>JG</f>
        <v>9.6166522241370451</v>
      </c>
      <c r="K42" s="13">
        <v>2</v>
      </c>
      <c r="L42" s="16">
        <f t="shared" si="0"/>
        <v>19.23330444827409</v>
      </c>
      <c r="M42" s="16">
        <v>49.9</v>
      </c>
      <c r="N42" s="18">
        <f t="shared" si="1"/>
        <v>0.95974189196887716</v>
      </c>
      <c r="O42" s="16">
        <v>1.1599999999999999</v>
      </c>
      <c r="P42" s="18">
        <f t="shared" si="2"/>
        <v>22.310633159997945</v>
      </c>
      <c r="Q42" s="13" t="s">
        <v>86</v>
      </c>
    </row>
    <row r="43" spans="1:17">
      <c r="A43" s="13" t="s">
        <v>60</v>
      </c>
      <c r="N43" s="19">
        <f>SUBTOTAL(109,N2:N42)</f>
        <v>155.53330197465374</v>
      </c>
      <c r="P43" s="19">
        <f>SUBTOTAL(109,P2:P42)</f>
        <v>3144.3758654058988</v>
      </c>
    </row>
  </sheetData>
  <autoFilter ref="A1:Q42">
    <sortState ref="A6:R604">
      <sortCondition ref="A6:A604"/>
    </sortState>
  </autoFilter>
  <sortState ref="A2:Q36">
    <sortCondition ref="A2:A36"/>
  </sortState>
  <phoneticPr fontId="2" type="noConversion"/>
  <conditionalFormatting sqref="A1:Q1048576">
    <cfRule type="expression" dxfId="15" priority="1">
      <formula>($A1="序号")+($A1="汇总")</formula>
    </cfRule>
    <cfRule type="expression" dxfId="14" priority="2">
      <formula>($A1&amp;$B1&amp;$C1&amp;$D1&amp;$E1&amp;$F1&amp;$G1&amp;$H1&amp;$I1&amp;$J1&amp;$K1&amp;$L1&amp;$M1&amp;$N1&amp;$O1&amp;$P1&amp;$Q1&lt;&gt;"")</formula>
    </cfRule>
  </conditionalFormatting>
  <printOptions horizontalCentered="1"/>
  <pageMargins left="0.51181102362204722" right="0.51181102362204722" top="0.59055118110236227" bottom="0.39370078740157483" header="0.31496062992125984" footer="0.31496062992125984"/>
  <pageSetup paperSize="9" scale="83" fitToHeight="0" orientation="landscape" r:id="rId1"/>
  <headerFooter alignWithMargins="0">
    <oddFooter>&amp;C第 &amp;P 页，共 &amp;N 页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Q23"/>
  <sheetViews>
    <sheetView workbookViewId="0">
      <pane ySplit="1" topLeftCell="A2" activePane="bottomLeft" state="frozen"/>
      <selection activeCell="A36" sqref="A36"/>
      <selection pane="bottomLeft" activeCell="P23" sqref="P23"/>
    </sheetView>
  </sheetViews>
  <sheetFormatPr defaultColWidth="9" defaultRowHeight="12"/>
  <cols>
    <col min="1" max="1" width="4.375" style="13" customWidth="1"/>
    <col min="2" max="2" width="9" style="2" customWidth="1"/>
    <col min="3" max="3" width="13.625" style="2" customWidth="1"/>
    <col min="4" max="4" width="10.5" style="1" customWidth="1"/>
    <col min="5" max="5" width="12.5" style="13" customWidth="1"/>
    <col min="6" max="6" width="15.625" style="2" customWidth="1"/>
    <col min="7" max="7" width="7.5" style="13" customWidth="1"/>
    <col min="8" max="8" width="6.125" style="13" customWidth="1"/>
    <col min="9" max="9" width="18.5" style="3" customWidth="1"/>
    <col min="10" max="10" width="9.625" style="17" customWidth="1"/>
    <col min="11" max="11" width="7.5" style="13" customWidth="1"/>
    <col min="12" max="12" width="9" style="17"/>
    <col min="13" max="13" width="9.375" style="17" customWidth="1"/>
    <col min="14" max="14" width="8.625" style="19" customWidth="1"/>
    <col min="15" max="15" width="8.625" style="17" customWidth="1"/>
    <col min="16" max="16" width="9.5" style="19" bestFit="1" customWidth="1"/>
    <col min="17" max="17" width="9.125" style="13" customWidth="1"/>
    <col min="18" max="16384" width="9" style="13"/>
  </cols>
  <sheetData>
    <row r="1" spans="1:17" s="1" customFormat="1" ht="24">
      <c r="A1" s="4" t="s">
        <v>0</v>
      </c>
      <c r="B1" s="5" t="s">
        <v>1</v>
      </c>
      <c r="C1" s="5" t="s">
        <v>2</v>
      </c>
      <c r="D1" s="4" t="s">
        <v>3</v>
      </c>
      <c r="E1" s="4" t="s">
        <v>4</v>
      </c>
      <c r="F1" s="5" t="s">
        <v>5</v>
      </c>
      <c r="G1" s="4" t="s">
        <v>6</v>
      </c>
      <c r="H1" s="4" t="s">
        <v>7</v>
      </c>
      <c r="I1" s="5" t="s">
        <v>8</v>
      </c>
      <c r="J1" s="9" t="s">
        <v>9</v>
      </c>
      <c r="K1" s="4" t="s">
        <v>10</v>
      </c>
      <c r="L1" s="9" t="s">
        <v>11</v>
      </c>
      <c r="M1" s="9" t="s">
        <v>12</v>
      </c>
      <c r="N1" s="10" t="s">
        <v>13</v>
      </c>
      <c r="O1" s="9" t="s">
        <v>14</v>
      </c>
      <c r="P1" s="10" t="s">
        <v>15</v>
      </c>
      <c r="Q1" s="4" t="s">
        <v>16</v>
      </c>
    </row>
    <row r="2" spans="1:17" ht="24">
      <c r="A2" s="12">
        <v>1</v>
      </c>
      <c r="B2" s="20" t="s">
        <v>112</v>
      </c>
      <c r="C2" s="5" t="s">
        <v>17</v>
      </c>
      <c r="D2" s="1" t="s">
        <v>61</v>
      </c>
      <c r="E2" s="13" t="s">
        <v>1066</v>
      </c>
      <c r="F2" s="7" t="s">
        <v>993</v>
      </c>
      <c r="G2" s="12" t="s">
        <v>824</v>
      </c>
      <c r="H2" s="14" t="s">
        <v>823</v>
      </c>
      <c r="I2" s="3" t="s">
        <v>1021</v>
      </c>
      <c r="J2" s="16">
        <f>JG</f>
        <v>5.2699999999999987</v>
      </c>
      <c r="K2" s="13">
        <v>16</v>
      </c>
      <c r="L2" s="16">
        <f t="shared" ref="L2:L22" si="0">J2*K2</f>
        <v>84.319999999999979</v>
      </c>
      <c r="M2" s="16">
        <v>78.099999999999994</v>
      </c>
      <c r="N2" s="18">
        <f t="shared" ref="N2:N22" si="1">L2*M2*0.001</f>
        <v>6.5853919999999979</v>
      </c>
      <c r="O2" s="16">
        <v>1.64</v>
      </c>
      <c r="P2" s="18">
        <f t="shared" ref="P2:P22" si="2">O2*L2</f>
        <v>138.28479999999996</v>
      </c>
    </row>
    <row r="3" spans="1:17" ht="24">
      <c r="A3" s="12">
        <v>2</v>
      </c>
      <c r="B3" s="20" t="s">
        <v>109</v>
      </c>
      <c r="C3" s="5" t="s">
        <v>17</v>
      </c>
      <c r="D3" s="1" t="s">
        <v>1065</v>
      </c>
      <c r="E3" s="13" t="s">
        <v>1067</v>
      </c>
      <c r="F3" s="7" t="s">
        <v>1071</v>
      </c>
      <c r="G3" s="12" t="s">
        <v>822</v>
      </c>
      <c r="H3" s="14" t="s">
        <v>823</v>
      </c>
      <c r="I3" s="3">
        <v>1</v>
      </c>
      <c r="J3" s="16">
        <f>JG</f>
        <v>1</v>
      </c>
      <c r="K3" s="13">
        <v>16</v>
      </c>
      <c r="L3" s="16">
        <f t="shared" ref="L3:L6" si="3">J3*K3</f>
        <v>16</v>
      </c>
      <c r="M3" s="16">
        <f>0.62*0.57*0.03*7850</f>
        <v>83.225699999999989</v>
      </c>
      <c r="N3" s="18">
        <f t="shared" si="1"/>
        <v>1.3316111999999998</v>
      </c>
      <c r="O3" s="16">
        <f>0.62*0.57</f>
        <v>0.35339999999999999</v>
      </c>
      <c r="P3" s="18">
        <f t="shared" si="2"/>
        <v>5.6543999999999999</v>
      </c>
    </row>
    <row r="4" spans="1:17" ht="24">
      <c r="A4" s="12">
        <v>3</v>
      </c>
      <c r="B4" s="20" t="s">
        <v>109</v>
      </c>
      <c r="C4" s="5" t="s">
        <v>17</v>
      </c>
      <c r="D4" s="1" t="s">
        <v>1065</v>
      </c>
      <c r="E4" s="13" t="s">
        <v>1067</v>
      </c>
      <c r="F4" s="7" t="s">
        <v>1068</v>
      </c>
      <c r="G4" s="12" t="s">
        <v>822</v>
      </c>
      <c r="H4" s="14" t="s">
        <v>823</v>
      </c>
      <c r="I4" s="3">
        <v>2</v>
      </c>
      <c r="J4" s="16">
        <f>JG</f>
        <v>2</v>
      </c>
      <c r="K4" s="13">
        <v>16</v>
      </c>
      <c r="L4" s="16">
        <f t="shared" si="3"/>
        <v>32</v>
      </c>
      <c r="M4" s="16"/>
      <c r="N4" s="18">
        <f t="shared" si="1"/>
        <v>0</v>
      </c>
      <c r="O4" s="16"/>
      <c r="P4" s="18">
        <f t="shared" si="2"/>
        <v>0</v>
      </c>
    </row>
    <row r="5" spans="1:17" ht="24">
      <c r="A5" s="12">
        <v>4</v>
      </c>
      <c r="B5" s="20" t="s">
        <v>109</v>
      </c>
      <c r="C5" s="5" t="s">
        <v>17</v>
      </c>
      <c r="D5" s="1" t="s">
        <v>1065</v>
      </c>
      <c r="E5" s="13" t="s">
        <v>1067</v>
      </c>
      <c r="F5" s="7" t="s">
        <v>1069</v>
      </c>
      <c r="G5" s="12" t="s">
        <v>822</v>
      </c>
      <c r="H5" s="14" t="s">
        <v>823</v>
      </c>
      <c r="I5" s="3">
        <v>4</v>
      </c>
      <c r="J5" s="16">
        <f>JG</f>
        <v>4</v>
      </c>
      <c r="K5" s="13">
        <v>16</v>
      </c>
      <c r="L5" s="16">
        <f t="shared" si="3"/>
        <v>64</v>
      </c>
      <c r="M5" s="16"/>
      <c r="N5" s="18">
        <f t="shared" si="1"/>
        <v>0</v>
      </c>
      <c r="O5" s="16"/>
      <c r="P5" s="18">
        <f t="shared" si="2"/>
        <v>0</v>
      </c>
    </row>
    <row r="6" spans="1:17" ht="24">
      <c r="A6" s="12">
        <v>5</v>
      </c>
      <c r="B6" s="20" t="s">
        <v>109</v>
      </c>
      <c r="C6" s="5" t="s">
        <v>17</v>
      </c>
      <c r="D6" s="1" t="s">
        <v>1065</v>
      </c>
      <c r="E6" s="13" t="s">
        <v>1067</v>
      </c>
      <c r="F6" s="7" t="s">
        <v>1069</v>
      </c>
      <c r="G6" s="12" t="s">
        <v>822</v>
      </c>
      <c r="H6" s="14" t="s">
        <v>823</v>
      </c>
      <c r="I6" s="3">
        <v>8</v>
      </c>
      <c r="J6" s="16">
        <f>JG</f>
        <v>8</v>
      </c>
      <c r="K6" s="13">
        <v>16</v>
      </c>
      <c r="L6" s="16">
        <f t="shared" si="3"/>
        <v>128</v>
      </c>
      <c r="M6" s="16"/>
      <c r="N6" s="18">
        <f t="shared" si="1"/>
        <v>0</v>
      </c>
      <c r="O6" s="16"/>
      <c r="P6" s="18">
        <f t="shared" si="2"/>
        <v>0</v>
      </c>
    </row>
    <row r="7" spans="1:17" ht="24">
      <c r="A7" s="12">
        <v>6</v>
      </c>
      <c r="B7" s="20" t="s">
        <v>112</v>
      </c>
      <c r="C7" s="5" t="s">
        <v>17</v>
      </c>
      <c r="D7" s="1" t="s">
        <v>62</v>
      </c>
      <c r="E7" s="13" t="s">
        <v>831</v>
      </c>
      <c r="F7" s="2" t="s">
        <v>63</v>
      </c>
      <c r="G7" s="12" t="s">
        <v>824</v>
      </c>
      <c r="H7" s="14" t="s">
        <v>823</v>
      </c>
      <c r="I7" s="3" t="s">
        <v>1022</v>
      </c>
      <c r="J7" s="16">
        <f>JG</f>
        <v>5.2639999999999993</v>
      </c>
      <c r="K7" s="13">
        <v>16</v>
      </c>
      <c r="L7" s="16">
        <f t="shared" si="0"/>
        <v>84.22399999999999</v>
      </c>
      <c r="M7" s="16">
        <v>105</v>
      </c>
      <c r="N7" s="18">
        <f t="shared" si="1"/>
        <v>8.843519999999998</v>
      </c>
      <c r="O7" s="16">
        <v>1.94</v>
      </c>
      <c r="P7" s="18">
        <f t="shared" si="2"/>
        <v>163.39455999999998</v>
      </c>
    </row>
    <row r="8" spans="1:17" ht="24">
      <c r="A8" s="12">
        <v>7</v>
      </c>
      <c r="B8" s="20" t="s">
        <v>109</v>
      </c>
      <c r="C8" s="5" t="s">
        <v>17</v>
      </c>
      <c r="D8" s="6" t="s">
        <v>909</v>
      </c>
      <c r="E8" s="14" t="s">
        <v>974</v>
      </c>
      <c r="F8" s="7" t="s">
        <v>1057</v>
      </c>
      <c r="G8" s="12" t="s">
        <v>969</v>
      </c>
      <c r="H8" s="14" t="s">
        <v>970</v>
      </c>
      <c r="I8" s="8">
        <v>1</v>
      </c>
      <c r="J8" s="16">
        <f>JG</f>
        <v>1</v>
      </c>
      <c r="K8" s="13">
        <v>16</v>
      </c>
      <c r="L8" s="16">
        <f t="shared" si="0"/>
        <v>16</v>
      </c>
      <c r="M8" s="16">
        <f>0.7*0.66*0.036*7850</f>
        <v>130.56119999999999</v>
      </c>
      <c r="N8" s="18">
        <f t="shared" si="1"/>
        <v>2.0889791999999998</v>
      </c>
      <c r="O8" s="16">
        <f>0.7*0.66</f>
        <v>0.46199999999999997</v>
      </c>
      <c r="P8" s="18">
        <f t="shared" si="2"/>
        <v>7.3919999999999995</v>
      </c>
    </row>
    <row r="9" spans="1:17" ht="24">
      <c r="A9" s="12">
        <v>8</v>
      </c>
      <c r="B9" s="20" t="s">
        <v>109</v>
      </c>
      <c r="C9" s="5" t="s">
        <v>17</v>
      </c>
      <c r="D9" s="6" t="s">
        <v>909</v>
      </c>
      <c r="E9" s="14" t="s">
        <v>974</v>
      </c>
      <c r="F9" s="7" t="s">
        <v>1069</v>
      </c>
      <c r="G9" s="12" t="s">
        <v>969</v>
      </c>
      <c r="H9" s="14" t="s">
        <v>970</v>
      </c>
      <c r="I9" s="8">
        <v>2</v>
      </c>
      <c r="J9" s="16">
        <f>JG</f>
        <v>2</v>
      </c>
      <c r="K9" s="13">
        <v>16</v>
      </c>
      <c r="L9" s="16">
        <f t="shared" si="0"/>
        <v>32</v>
      </c>
      <c r="M9" s="16"/>
      <c r="N9" s="18">
        <f t="shared" si="1"/>
        <v>0</v>
      </c>
      <c r="O9" s="16"/>
      <c r="P9" s="18">
        <f t="shared" si="2"/>
        <v>0</v>
      </c>
    </row>
    <row r="10" spans="1:17" ht="24">
      <c r="A10" s="12">
        <v>9</v>
      </c>
      <c r="B10" s="20" t="s">
        <v>109</v>
      </c>
      <c r="C10" s="5" t="s">
        <v>17</v>
      </c>
      <c r="D10" s="6" t="s">
        <v>909</v>
      </c>
      <c r="E10" s="14" t="s">
        <v>974</v>
      </c>
      <c r="F10" s="7" t="s">
        <v>712</v>
      </c>
      <c r="G10" s="12" t="s">
        <v>969</v>
      </c>
      <c r="H10" s="14" t="s">
        <v>970</v>
      </c>
      <c r="I10" s="8">
        <v>4</v>
      </c>
      <c r="J10" s="16">
        <f>JG</f>
        <v>4</v>
      </c>
      <c r="K10" s="13">
        <v>16</v>
      </c>
      <c r="L10" s="16">
        <f t="shared" si="0"/>
        <v>64</v>
      </c>
      <c r="M10" s="16"/>
      <c r="N10" s="18">
        <f t="shared" si="1"/>
        <v>0</v>
      </c>
      <c r="O10" s="16"/>
      <c r="P10" s="18">
        <f t="shared" si="2"/>
        <v>0</v>
      </c>
    </row>
    <row r="11" spans="1:17" ht="24">
      <c r="A11" s="12">
        <v>10</v>
      </c>
      <c r="B11" s="20" t="s">
        <v>109</v>
      </c>
      <c r="C11" s="5" t="s">
        <v>17</v>
      </c>
      <c r="D11" s="6" t="s">
        <v>909</v>
      </c>
      <c r="E11" s="14" t="s">
        <v>974</v>
      </c>
      <c r="F11" s="7" t="s">
        <v>712</v>
      </c>
      <c r="G11" s="12" t="s">
        <v>969</v>
      </c>
      <c r="H11" s="14" t="s">
        <v>970</v>
      </c>
      <c r="I11" s="8">
        <v>8</v>
      </c>
      <c r="J11" s="16">
        <f>JG</f>
        <v>8</v>
      </c>
      <c r="K11" s="13">
        <v>16</v>
      </c>
      <c r="L11" s="16">
        <f t="shared" si="0"/>
        <v>128</v>
      </c>
      <c r="M11" s="16"/>
      <c r="N11" s="18">
        <f t="shared" si="1"/>
        <v>0</v>
      </c>
      <c r="O11" s="16"/>
      <c r="P11" s="18">
        <f t="shared" si="2"/>
        <v>0</v>
      </c>
    </row>
    <row r="12" spans="1:17" ht="24">
      <c r="A12" s="12">
        <v>11</v>
      </c>
      <c r="B12" s="2" t="s">
        <v>113</v>
      </c>
      <c r="C12" s="2" t="s">
        <v>64</v>
      </c>
      <c r="D12" s="1" t="s">
        <v>32</v>
      </c>
      <c r="E12" s="13" t="s">
        <v>831</v>
      </c>
      <c r="F12" s="2" t="s">
        <v>65</v>
      </c>
      <c r="G12" s="12" t="s">
        <v>824</v>
      </c>
      <c r="H12" s="14" t="s">
        <v>823</v>
      </c>
      <c r="I12" s="3" t="s">
        <v>33</v>
      </c>
      <c r="J12" s="16">
        <f>JG</f>
        <v>6.75</v>
      </c>
      <c r="K12" s="13">
        <v>29</v>
      </c>
      <c r="L12" s="16">
        <f t="shared" si="0"/>
        <v>195.75</v>
      </c>
      <c r="M12" s="16">
        <v>55.8</v>
      </c>
      <c r="N12" s="18">
        <f t="shared" si="1"/>
        <v>10.922849999999999</v>
      </c>
      <c r="O12" s="16">
        <v>1.35</v>
      </c>
      <c r="P12" s="18">
        <f t="shared" si="2"/>
        <v>264.26250000000005</v>
      </c>
    </row>
    <row r="13" spans="1:17" ht="24">
      <c r="A13" s="12">
        <v>12</v>
      </c>
      <c r="B13" s="2" t="s">
        <v>113</v>
      </c>
      <c r="C13" s="2" t="s">
        <v>64</v>
      </c>
      <c r="D13" s="1" t="s">
        <v>39</v>
      </c>
      <c r="E13" s="13" t="s">
        <v>828</v>
      </c>
      <c r="F13" s="2" t="s">
        <v>66</v>
      </c>
      <c r="G13" s="12" t="s">
        <v>824</v>
      </c>
      <c r="H13" s="14" t="s">
        <v>823</v>
      </c>
      <c r="I13" s="3" t="s">
        <v>67</v>
      </c>
      <c r="J13" s="16">
        <f>JG</f>
        <v>116</v>
      </c>
      <c r="K13" s="13">
        <v>1</v>
      </c>
      <c r="L13" s="16">
        <f t="shared" si="0"/>
        <v>116</v>
      </c>
      <c r="M13" s="16">
        <f>0.12*0.312*0.008*7850</f>
        <v>2.351232</v>
      </c>
      <c r="N13" s="18">
        <f t="shared" si="1"/>
        <v>0.272742912</v>
      </c>
      <c r="O13" s="16">
        <f>0.12*2*0.312</f>
        <v>7.4880000000000002E-2</v>
      </c>
      <c r="P13" s="18">
        <f t="shared" si="2"/>
        <v>8.6860800000000005</v>
      </c>
    </row>
    <row r="14" spans="1:17" ht="24">
      <c r="A14" s="12">
        <v>13</v>
      </c>
      <c r="B14" s="2" t="s">
        <v>113</v>
      </c>
      <c r="C14" s="2" t="s">
        <v>64</v>
      </c>
      <c r="D14" s="1" t="s">
        <v>68</v>
      </c>
      <c r="E14" s="13" t="s">
        <v>831</v>
      </c>
      <c r="F14" s="2" t="s">
        <v>65</v>
      </c>
      <c r="G14" s="12" t="s">
        <v>824</v>
      </c>
      <c r="H14" s="14" t="s">
        <v>823</v>
      </c>
      <c r="I14" s="3" t="s">
        <v>994</v>
      </c>
      <c r="J14" s="16">
        <f>JG</f>
        <v>106.16</v>
      </c>
      <c r="K14" s="13">
        <v>1</v>
      </c>
      <c r="L14" s="16">
        <f t="shared" si="0"/>
        <v>106.16</v>
      </c>
      <c r="M14" s="16">
        <v>55.8</v>
      </c>
      <c r="N14" s="18">
        <f t="shared" si="1"/>
        <v>5.9237279999999997</v>
      </c>
      <c r="O14" s="16">
        <v>1.35</v>
      </c>
      <c r="P14" s="18">
        <f t="shared" si="2"/>
        <v>143.316</v>
      </c>
      <c r="Q14" s="13" t="s">
        <v>69</v>
      </c>
    </row>
    <row r="15" spans="1:17" ht="24">
      <c r="A15" s="12">
        <v>14</v>
      </c>
      <c r="B15" s="2" t="s">
        <v>113</v>
      </c>
      <c r="C15" s="2" t="s">
        <v>64</v>
      </c>
      <c r="D15" s="1" t="s">
        <v>70</v>
      </c>
      <c r="E15" s="13" t="s">
        <v>832</v>
      </c>
      <c r="F15" s="2" t="s">
        <v>71</v>
      </c>
      <c r="G15" s="12" t="s">
        <v>824</v>
      </c>
      <c r="H15" s="14" t="s">
        <v>823</v>
      </c>
      <c r="I15" s="3" t="s">
        <v>72</v>
      </c>
      <c r="J15" s="16">
        <f>JG</f>
        <v>249.7</v>
      </c>
      <c r="K15" s="13">
        <v>1</v>
      </c>
      <c r="L15" s="16">
        <f t="shared" si="0"/>
        <v>249.7</v>
      </c>
      <c r="M15" s="16">
        <v>78.099999999999994</v>
      </c>
      <c r="N15" s="18">
        <f t="shared" si="1"/>
        <v>19.501569999999997</v>
      </c>
      <c r="O15" s="16">
        <v>1.64</v>
      </c>
      <c r="P15" s="18">
        <f t="shared" si="2"/>
        <v>409.50799999999998</v>
      </c>
    </row>
    <row r="16" spans="1:17" ht="24">
      <c r="A16" s="12">
        <v>15</v>
      </c>
      <c r="B16" s="2" t="s">
        <v>113</v>
      </c>
      <c r="C16" s="2" t="s">
        <v>64</v>
      </c>
      <c r="D16" s="1" t="s">
        <v>25</v>
      </c>
      <c r="E16" s="13" t="s">
        <v>833</v>
      </c>
      <c r="F16" s="2" t="s">
        <v>29</v>
      </c>
      <c r="G16" s="12" t="s">
        <v>824</v>
      </c>
      <c r="H16" s="14" t="s">
        <v>823</v>
      </c>
      <c r="I16" s="3" t="s">
        <v>73</v>
      </c>
      <c r="J16" s="16">
        <f>JG</f>
        <v>116.25</v>
      </c>
      <c r="K16" s="13">
        <v>1</v>
      </c>
      <c r="L16" s="16">
        <f t="shared" si="0"/>
        <v>116.25</v>
      </c>
      <c r="M16" s="16">
        <v>20.9</v>
      </c>
      <c r="N16" s="18">
        <f t="shared" si="1"/>
        <v>2.4296250000000001</v>
      </c>
      <c r="O16" s="16">
        <v>0.77500000000000002</v>
      </c>
      <c r="P16" s="18">
        <f t="shared" si="2"/>
        <v>90.09375</v>
      </c>
    </row>
    <row r="17" spans="1:17" ht="24">
      <c r="A17" s="12">
        <v>16</v>
      </c>
      <c r="B17" s="2" t="s">
        <v>113</v>
      </c>
      <c r="C17" s="2" t="s">
        <v>64</v>
      </c>
      <c r="D17" s="1" t="s">
        <v>39</v>
      </c>
      <c r="E17" s="13" t="s">
        <v>828</v>
      </c>
      <c r="F17" s="2" t="s">
        <v>74</v>
      </c>
      <c r="G17" s="12" t="s">
        <v>824</v>
      </c>
      <c r="H17" s="14" t="s">
        <v>823</v>
      </c>
      <c r="I17" s="3" t="s">
        <v>75</v>
      </c>
      <c r="J17" s="16">
        <f>JG</f>
        <v>90</v>
      </c>
      <c r="K17" s="13">
        <v>1</v>
      </c>
      <c r="L17" s="16">
        <f t="shared" si="0"/>
        <v>90</v>
      </c>
      <c r="M17" s="16">
        <f>0.096*0.27*0.0055*7850</f>
        <v>1.1190959999999999</v>
      </c>
      <c r="N17" s="18">
        <f t="shared" si="1"/>
        <v>0.10071864</v>
      </c>
      <c r="O17" s="16">
        <f>0.096*2*0.27</f>
        <v>5.1840000000000004E-2</v>
      </c>
      <c r="P17" s="18">
        <f t="shared" si="2"/>
        <v>4.6656000000000004</v>
      </c>
    </row>
    <row r="18" spans="1:17" ht="24">
      <c r="A18" s="12">
        <v>17</v>
      </c>
      <c r="B18" s="2" t="s">
        <v>113</v>
      </c>
      <c r="C18" s="2" t="s">
        <v>64</v>
      </c>
      <c r="D18" s="1" t="s">
        <v>76</v>
      </c>
      <c r="E18" s="13" t="s">
        <v>830</v>
      </c>
      <c r="F18" s="2" t="s">
        <v>31</v>
      </c>
      <c r="G18" s="12" t="s">
        <v>824</v>
      </c>
      <c r="H18" s="14" t="s">
        <v>823</v>
      </c>
      <c r="I18" s="3" t="s">
        <v>77</v>
      </c>
      <c r="J18" s="16">
        <f>JG</f>
        <v>4.3011626335213133</v>
      </c>
      <c r="K18" s="13">
        <v>2</v>
      </c>
      <c r="L18" s="16">
        <f t="shared" si="0"/>
        <v>8.6023252670426267</v>
      </c>
      <c r="M18" s="16">
        <v>14.5</v>
      </c>
      <c r="N18" s="18">
        <f t="shared" si="1"/>
        <v>0.12473371637211808</v>
      </c>
      <c r="O18" s="16">
        <v>0.49299999999999999</v>
      </c>
      <c r="P18" s="18">
        <f t="shared" si="2"/>
        <v>4.2409463566520147</v>
      </c>
    </row>
    <row r="19" spans="1:17" ht="24">
      <c r="A19" s="12">
        <v>18</v>
      </c>
      <c r="B19" s="2" t="s">
        <v>113</v>
      </c>
      <c r="C19" s="2" t="s">
        <v>64</v>
      </c>
      <c r="D19" s="1" t="s">
        <v>76</v>
      </c>
      <c r="E19" s="13" t="s">
        <v>830</v>
      </c>
      <c r="F19" s="2" t="s">
        <v>31</v>
      </c>
      <c r="G19" s="12" t="s">
        <v>824</v>
      </c>
      <c r="H19" s="14" t="s">
        <v>823</v>
      </c>
      <c r="I19" s="3" t="s">
        <v>78</v>
      </c>
      <c r="J19" s="16">
        <f>JG</f>
        <v>4.2722944655067963</v>
      </c>
      <c r="K19" s="13">
        <v>6</v>
      </c>
      <c r="L19" s="16">
        <f t="shared" si="0"/>
        <v>25.633766793040778</v>
      </c>
      <c r="M19" s="16">
        <v>14.5</v>
      </c>
      <c r="N19" s="18">
        <f t="shared" si="1"/>
        <v>0.37168961849909132</v>
      </c>
      <c r="O19" s="16">
        <v>0.49299999999999999</v>
      </c>
      <c r="P19" s="18">
        <f t="shared" si="2"/>
        <v>12.637447028969103</v>
      </c>
    </row>
    <row r="20" spans="1:17" ht="24">
      <c r="A20" s="12">
        <v>19</v>
      </c>
      <c r="B20" s="2" t="s">
        <v>113</v>
      </c>
      <c r="C20" s="2" t="s">
        <v>64</v>
      </c>
      <c r="D20" s="1" t="s">
        <v>76</v>
      </c>
      <c r="E20" s="13" t="s">
        <v>830</v>
      </c>
      <c r="F20" s="2" t="s">
        <v>31</v>
      </c>
      <c r="G20" s="12" t="s">
        <v>824</v>
      </c>
      <c r="H20" s="14" t="s">
        <v>823</v>
      </c>
      <c r="I20" s="3" t="s">
        <v>79</v>
      </c>
      <c r="J20" s="16">
        <f>JG</f>
        <v>4.6097722286464435</v>
      </c>
      <c r="K20" s="13">
        <v>12</v>
      </c>
      <c r="L20" s="16">
        <f t="shared" si="0"/>
        <v>55.317266743757322</v>
      </c>
      <c r="M20" s="16">
        <v>14.5</v>
      </c>
      <c r="N20" s="18">
        <f t="shared" si="1"/>
        <v>0.80210036778448113</v>
      </c>
      <c r="O20" s="16">
        <v>0.49299999999999999</v>
      </c>
      <c r="P20" s="18">
        <f t="shared" si="2"/>
        <v>27.271412504672359</v>
      </c>
    </row>
    <row r="21" spans="1:17">
      <c r="A21" s="12">
        <v>20</v>
      </c>
      <c r="C21" s="2" t="s">
        <v>80</v>
      </c>
      <c r="D21" s="1" t="s">
        <v>81</v>
      </c>
      <c r="E21" s="13" t="s">
        <v>834</v>
      </c>
      <c r="F21" s="2" t="s">
        <v>82</v>
      </c>
      <c r="G21" s="12" t="s">
        <v>824</v>
      </c>
      <c r="H21" s="14" t="s">
        <v>823</v>
      </c>
      <c r="I21" s="3" t="s">
        <v>83</v>
      </c>
      <c r="J21" s="16">
        <f>JG</f>
        <v>7.2350276433473288</v>
      </c>
      <c r="K21" s="13">
        <v>4</v>
      </c>
      <c r="L21" s="16">
        <f t="shared" si="0"/>
        <v>28.940110573389315</v>
      </c>
      <c r="M21" s="16">
        <v>49.9</v>
      </c>
      <c r="N21" s="18">
        <f t="shared" si="1"/>
        <v>1.4441115176121269</v>
      </c>
      <c r="O21" s="16">
        <v>1.1599999999999999</v>
      </c>
      <c r="P21" s="18">
        <f t="shared" si="2"/>
        <v>33.570528265131607</v>
      </c>
      <c r="Q21" s="13" t="s">
        <v>85</v>
      </c>
    </row>
    <row r="22" spans="1:17">
      <c r="A22" s="12">
        <v>21</v>
      </c>
      <c r="C22" s="2" t="s">
        <v>80</v>
      </c>
      <c r="D22" s="1" t="s">
        <v>81</v>
      </c>
      <c r="E22" s="13" t="s">
        <v>835</v>
      </c>
      <c r="F22" s="2" t="s">
        <v>82</v>
      </c>
      <c r="G22" s="12" t="s">
        <v>824</v>
      </c>
      <c r="H22" s="14" t="s">
        <v>823</v>
      </c>
      <c r="I22" s="3" t="s">
        <v>84</v>
      </c>
      <c r="J22" s="16">
        <f>JG</f>
        <v>6.9526973183074787</v>
      </c>
      <c r="K22" s="13">
        <v>12</v>
      </c>
      <c r="L22" s="16">
        <f t="shared" si="0"/>
        <v>83.432367819689745</v>
      </c>
      <c r="M22" s="16">
        <v>49.9</v>
      </c>
      <c r="N22" s="18">
        <f t="shared" si="1"/>
        <v>4.1632751542025179</v>
      </c>
      <c r="O22" s="16">
        <v>1.1599999999999999</v>
      </c>
      <c r="P22" s="18">
        <f t="shared" si="2"/>
        <v>96.7815466708401</v>
      </c>
      <c r="Q22" s="13" t="s">
        <v>85</v>
      </c>
    </row>
    <row r="23" spans="1:17">
      <c r="A23" s="13" t="s">
        <v>60</v>
      </c>
      <c r="N23" s="19">
        <f>SUBTOTAL(109,N2:N22)</f>
        <v>64.906647326470321</v>
      </c>
      <c r="P23" s="19">
        <f>SUBTOTAL(109,P2:P22)</f>
        <v>1409.7595708262652</v>
      </c>
    </row>
  </sheetData>
  <autoFilter ref="A1:Q22">
    <sortState ref="A6:R604">
      <sortCondition ref="A6:A604"/>
    </sortState>
  </autoFilter>
  <sortState ref="A2:Q16">
    <sortCondition ref="A2:A16"/>
  </sortState>
  <phoneticPr fontId="2" type="noConversion"/>
  <conditionalFormatting sqref="A1:Q1048576">
    <cfRule type="expression" dxfId="13" priority="1">
      <formula>($A1="序号")+($A1="汇总")</formula>
    </cfRule>
    <cfRule type="expression" dxfId="12" priority="2">
      <formula>($A1&amp;$B1&amp;$C1&amp;$D1&amp;$E1&amp;$F1&amp;$G1&amp;$H1&amp;$I1&amp;$J1&amp;$K1&amp;$L1&amp;$M1&amp;$N1&amp;$O1&amp;$P1&amp;$Q1&lt;&gt;"")</formula>
    </cfRule>
  </conditionalFormatting>
  <printOptions horizontalCentered="1"/>
  <pageMargins left="0.51181102362204722" right="0.51181102362204722" top="0.59055118110236227" bottom="0.39370078740157483" header="0.31496062992125984" footer="0.31496062992125984"/>
  <pageSetup paperSize="9" scale="83" fitToHeight="0" orientation="landscape" r:id="rId1"/>
  <headerFooter alignWithMargins="0">
    <oddFooter>&amp;C第 &amp;P 页，共 &amp;N 页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Q22"/>
  <sheetViews>
    <sheetView workbookViewId="0">
      <pane ySplit="1" topLeftCell="A2" activePane="bottomLeft" state="frozen"/>
      <selection activeCell="A36" sqref="A36"/>
      <selection pane="bottomLeft" activeCell="P22" sqref="P22"/>
    </sheetView>
  </sheetViews>
  <sheetFormatPr defaultColWidth="9" defaultRowHeight="12"/>
  <cols>
    <col min="1" max="1" width="4.375" style="13" customWidth="1"/>
    <col min="2" max="2" width="9" style="2" customWidth="1"/>
    <col min="3" max="3" width="13.625" style="2" customWidth="1"/>
    <col min="4" max="4" width="10.5" style="1" customWidth="1"/>
    <col min="5" max="5" width="12.5" style="13" customWidth="1"/>
    <col min="6" max="6" width="15.625" style="2" customWidth="1"/>
    <col min="7" max="7" width="7.5" style="13" customWidth="1"/>
    <col min="8" max="8" width="6.125" style="13" customWidth="1"/>
    <col min="9" max="9" width="18.5" style="3" customWidth="1"/>
    <col min="10" max="10" width="9.625" style="17" customWidth="1"/>
    <col min="11" max="11" width="7.5" style="13" customWidth="1"/>
    <col min="12" max="12" width="9" style="17"/>
    <col min="13" max="13" width="9.375" style="17" customWidth="1"/>
    <col min="14" max="14" width="8.625" style="19" customWidth="1"/>
    <col min="15" max="15" width="8.625" style="17" customWidth="1"/>
    <col min="16" max="16" width="9.5" style="19" bestFit="1" customWidth="1"/>
    <col min="17" max="17" width="9.125" style="13" customWidth="1"/>
    <col min="18" max="16384" width="9" style="13"/>
  </cols>
  <sheetData>
    <row r="1" spans="1:17" s="1" customFormat="1" ht="24">
      <c r="A1" s="4" t="s">
        <v>0</v>
      </c>
      <c r="B1" s="5" t="s">
        <v>1</v>
      </c>
      <c r="C1" s="5" t="s">
        <v>2</v>
      </c>
      <c r="D1" s="4" t="s">
        <v>3</v>
      </c>
      <c r="E1" s="4" t="s">
        <v>4</v>
      </c>
      <c r="F1" s="5" t="s">
        <v>5</v>
      </c>
      <c r="G1" s="4" t="s">
        <v>6</v>
      </c>
      <c r="H1" s="4" t="s">
        <v>7</v>
      </c>
      <c r="I1" s="5" t="s">
        <v>8</v>
      </c>
      <c r="J1" s="9" t="s">
        <v>9</v>
      </c>
      <c r="K1" s="4" t="s">
        <v>10</v>
      </c>
      <c r="L1" s="9" t="s">
        <v>11</v>
      </c>
      <c r="M1" s="9" t="s">
        <v>12</v>
      </c>
      <c r="N1" s="10" t="s">
        <v>13</v>
      </c>
      <c r="O1" s="9" t="s">
        <v>14</v>
      </c>
      <c r="P1" s="10" t="s">
        <v>15</v>
      </c>
      <c r="Q1" s="4" t="s">
        <v>16</v>
      </c>
    </row>
    <row r="2" spans="1:17" ht="24">
      <c r="A2" s="12">
        <v>1</v>
      </c>
      <c r="B2" s="20" t="s">
        <v>112</v>
      </c>
      <c r="C2" s="5" t="s">
        <v>17</v>
      </c>
      <c r="D2" s="1" t="s">
        <v>61</v>
      </c>
      <c r="E2" s="13" t="s">
        <v>825</v>
      </c>
      <c r="F2" s="7" t="s">
        <v>992</v>
      </c>
      <c r="G2" s="12" t="s">
        <v>824</v>
      </c>
      <c r="H2" s="14" t="s">
        <v>823</v>
      </c>
      <c r="I2" s="3" t="s">
        <v>1023</v>
      </c>
      <c r="J2" s="16">
        <f>JG</f>
        <v>5.2699999999999987</v>
      </c>
      <c r="K2" s="13">
        <v>24</v>
      </c>
      <c r="L2" s="16">
        <f t="shared" ref="L2:L21" si="0">J2*K2</f>
        <v>126.47999999999996</v>
      </c>
      <c r="M2" s="16">
        <v>78.099999999999994</v>
      </c>
      <c r="N2" s="18">
        <f t="shared" ref="N2:N21" si="1">L2*M2*0.001</f>
        <v>9.8780879999999964</v>
      </c>
      <c r="O2" s="16">
        <v>1.64</v>
      </c>
      <c r="P2" s="18">
        <f t="shared" ref="P2:P21" si="2">O2*L2</f>
        <v>207.42719999999991</v>
      </c>
    </row>
    <row r="3" spans="1:17" ht="24">
      <c r="A3" s="12">
        <v>2</v>
      </c>
      <c r="B3" s="20" t="s">
        <v>109</v>
      </c>
      <c r="C3" s="5" t="s">
        <v>17</v>
      </c>
      <c r="D3" s="1" t="s">
        <v>909</v>
      </c>
      <c r="E3" s="13" t="s">
        <v>974</v>
      </c>
      <c r="F3" s="7" t="s">
        <v>1070</v>
      </c>
      <c r="G3" s="12" t="s">
        <v>969</v>
      </c>
      <c r="H3" s="14" t="s">
        <v>970</v>
      </c>
      <c r="I3" s="3">
        <v>1</v>
      </c>
      <c r="J3" s="16">
        <f>JG</f>
        <v>1</v>
      </c>
      <c r="K3" s="13">
        <v>24</v>
      </c>
      <c r="L3" s="16">
        <f t="shared" si="0"/>
        <v>24</v>
      </c>
      <c r="M3" s="16">
        <f>0.62*0.57*0.03*7850</f>
        <v>83.225699999999989</v>
      </c>
      <c r="N3" s="18">
        <f t="shared" si="1"/>
        <v>1.9974167999999999</v>
      </c>
      <c r="O3" s="16">
        <f>0.62*0.57</f>
        <v>0.35339999999999999</v>
      </c>
      <c r="P3" s="18">
        <f t="shared" si="2"/>
        <v>8.4816000000000003</v>
      </c>
    </row>
    <row r="4" spans="1:17" ht="24">
      <c r="A4" s="12">
        <v>3</v>
      </c>
      <c r="B4" s="20" t="s">
        <v>109</v>
      </c>
      <c r="C4" s="5" t="s">
        <v>17</v>
      </c>
      <c r="D4" s="1" t="s">
        <v>909</v>
      </c>
      <c r="E4" s="13" t="s">
        <v>974</v>
      </c>
      <c r="F4" s="7" t="s">
        <v>712</v>
      </c>
      <c r="G4" s="12" t="s">
        <v>969</v>
      </c>
      <c r="H4" s="14" t="s">
        <v>970</v>
      </c>
      <c r="I4" s="3">
        <v>2</v>
      </c>
      <c r="J4" s="16">
        <f>JG</f>
        <v>2</v>
      </c>
      <c r="K4" s="13">
        <v>24</v>
      </c>
      <c r="L4" s="16">
        <f t="shared" si="0"/>
        <v>48</v>
      </c>
      <c r="M4" s="16"/>
      <c r="N4" s="18">
        <f t="shared" si="1"/>
        <v>0</v>
      </c>
      <c r="O4" s="16"/>
      <c r="P4" s="18">
        <f t="shared" si="2"/>
        <v>0</v>
      </c>
    </row>
    <row r="5" spans="1:17" ht="24">
      <c r="A5" s="12">
        <v>4</v>
      </c>
      <c r="B5" s="20" t="s">
        <v>109</v>
      </c>
      <c r="C5" s="5" t="s">
        <v>17</v>
      </c>
      <c r="D5" s="1" t="s">
        <v>909</v>
      </c>
      <c r="E5" s="13" t="s">
        <v>974</v>
      </c>
      <c r="F5" s="7" t="s">
        <v>712</v>
      </c>
      <c r="G5" s="12" t="s">
        <v>969</v>
      </c>
      <c r="H5" s="14" t="s">
        <v>970</v>
      </c>
      <c r="I5" s="3">
        <v>4</v>
      </c>
      <c r="J5" s="16">
        <f>JG</f>
        <v>4</v>
      </c>
      <c r="K5" s="13">
        <v>24</v>
      </c>
      <c r="L5" s="16">
        <f t="shared" si="0"/>
        <v>96</v>
      </c>
      <c r="M5" s="16"/>
      <c r="N5" s="18">
        <f t="shared" si="1"/>
        <v>0</v>
      </c>
      <c r="O5" s="16"/>
      <c r="P5" s="18">
        <f t="shared" si="2"/>
        <v>0</v>
      </c>
    </row>
    <row r="6" spans="1:17" ht="24">
      <c r="A6" s="12">
        <v>5</v>
      </c>
      <c r="B6" s="20" t="s">
        <v>109</v>
      </c>
      <c r="C6" s="5" t="s">
        <v>17</v>
      </c>
      <c r="D6" s="1" t="s">
        <v>909</v>
      </c>
      <c r="E6" s="13" t="s">
        <v>974</v>
      </c>
      <c r="F6" s="7" t="s">
        <v>712</v>
      </c>
      <c r="G6" s="12" t="s">
        <v>969</v>
      </c>
      <c r="H6" s="14" t="s">
        <v>970</v>
      </c>
      <c r="I6" s="3">
        <v>8</v>
      </c>
      <c r="J6" s="16">
        <f>JG</f>
        <v>8</v>
      </c>
      <c r="K6" s="13">
        <v>24</v>
      </c>
      <c r="L6" s="16">
        <f t="shared" si="0"/>
        <v>192</v>
      </c>
      <c r="M6" s="16"/>
      <c r="N6" s="18">
        <f t="shared" si="1"/>
        <v>0</v>
      </c>
      <c r="O6" s="16"/>
      <c r="P6" s="18">
        <f t="shared" si="2"/>
        <v>0</v>
      </c>
    </row>
    <row r="7" spans="1:17" ht="24">
      <c r="A7" s="12">
        <v>6</v>
      </c>
      <c r="B7" s="20" t="s">
        <v>112</v>
      </c>
      <c r="C7" s="5" t="s">
        <v>17</v>
      </c>
      <c r="D7" s="1" t="s">
        <v>87</v>
      </c>
      <c r="E7" s="13" t="s">
        <v>1072</v>
      </c>
      <c r="F7" s="2" t="s">
        <v>63</v>
      </c>
      <c r="G7" s="12" t="s">
        <v>824</v>
      </c>
      <c r="H7" s="14" t="s">
        <v>823</v>
      </c>
      <c r="I7" s="3" t="s">
        <v>1022</v>
      </c>
      <c r="J7" s="16">
        <f>JG</f>
        <v>5.2639999999999993</v>
      </c>
      <c r="K7" s="13">
        <v>24</v>
      </c>
      <c r="L7" s="16">
        <f t="shared" si="0"/>
        <v>126.33599999999998</v>
      </c>
      <c r="M7" s="16">
        <v>105</v>
      </c>
      <c r="N7" s="18">
        <f t="shared" si="1"/>
        <v>13.265279999999999</v>
      </c>
      <c r="O7" s="16">
        <v>1.94</v>
      </c>
      <c r="P7" s="18">
        <f t="shared" si="2"/>
        <v>245.09183999999996</v>
      </c>
    </row>
    <row r="8" spans="1:17" ht="24">
      <c r="A8" s="12">
        <v>7</v>
      </c>
      <c r="B8" s="20" t="s">
        <v>109</v>
      </c>
      <c r="C8" s="5" t="s">
        <v>17</v>
      </c>
      <c r="D8" s="6" t="s">
        <v>909</v>
      </c>
      <c r="E8" s="14" t="s">
        <v>974</v>
      </c>
      <c r="F8" s="7" t="s">
        <v>1057</v>
      </c>
      <c r="G8" s="12" t="s">
        <v>969</v>
      </c>
      <c r="H8" s="14" t="s">
        <v>970</v>
      </c>
      <c r="I8" s="8">
        <v>1</v>
      </c>
      <c r="J8" s="16">
        <f>JG</f>
        <v>1</v>
      </c>
      <c r="K8" s="13">
        <v>24</v>
      </c>
      <c r="L8" s="16">
        <f t="shared" si="0"/>
        <v>24</v>
      </c>
      <c r="M8" s="16">
        <f>0.7*0.66*0.036*7850</f>
        <v>130.56119999999999</v>
      </c>
      <c r="N8" s="18">
        <f t="shared" si="1"/>
        <v>3.1334687999999997</v>
      </c>
      <c r="O8" s="16">
        <f>0.7*0.66</f>
        <v>0.46199999999999997</v>
      </c>
      <c r="P8" s="18">
        <f t="shared" si="2"/>
        <v>11.087999999999999</v>
      </c>
    </row>
    <row r="9" spans="1:17" ht="24">
      <c r="A9" s="12">
        <v>8</v>
      </c>
      <c r="B9" s="20" t="s">
        <v>109</v>
      </c>
      <c r="C9" s="5" t="s">
        <v>17</v>
      </c>
      <c r="D9" s="6" t="s">
        <v>909</v>
      </c>
      <c r="E9" s="14" t="s">
        <v>974</v>
      </c>
      <c r="F9" s="7" t="s">
        <v>712</v>
      </c>
      <c r="G9" s="12" t="s">
        <v>969</v>
      </c>
      <c r="H9" s="14" t="s">
        <v>970</v>
      </c>
      <c r="I9" s="8">
        <v>2</v>
      </c>
      <c r="J9" s="16">
        <f>JG</f>
        <v>2</v>
      </c>
      <c r="K9" s="13">
        <v>24</v>
      </c>
      <c r="L9" s="16">
        <f t="shared" si="0"/>
        <v>48</v>
      </c>
      <c r="M9" s="16"/>
      <c r="N9" s="18">
        <f t="shared" si="1"/>
        <v>0</v>
      </c>
      <c r="O9" s="16"/>
      <c r="P9" s="18">
        <f t="shared" si="2"/>
        <v>0</v>
      </c>
    </row>
    <row r="10" spans="1:17" ht="24">
      <c r="A10" s="12">
        <v>9</v>
      </c>
      <c r="B10" s="20" t="s">
        <v>109</v>
      </c>
      <c r="C10" s="5" t="s">
        <v>17</v>
      </c>
      <c r="D10" s="6" t="s">
        <v>909</v>
      </c>
      <c r="E10" s="14" t="s">
        <v>974</v>
      </c>
      <c r="F10" s="7" t="s">
        <v>712</v>
      </c>
      <c r="G10" s="12" t="s">
        <v>969</v>
      </c>
      <c r="H10" s="14" t="s">
        <v>970</v>
      </c>
      <c r="I10" s="8">
        <v>4</v>
      </c>
      <c r="J10" s="16">
        <f>JG</f>
        <v>4</v>
      </c>
      <c r="K10" s="13">
        <v>24</v>
      </c>
      <c r="L10" s="16">
        <f t="shared" si="0"/>
        <v>96</v>
      </c>
      <c r="M10" s="16"/>
      <c r="N10" s="18">
        <f t="shared" si="1"/>
        <v>0</v>
      </c>
      <c r="O10" s="16"/>
      <c r="P10" s="18">
        <f t="shared" si="2"/>
        <v>0</v>
      </c>
    </row>
    <row r="11" spans="1:17" ht="24">
      <c r="A11" s="12">
        <v>10</v>
      </c>
      <c r="B11" s="20" t="s">
        <v>109</v>
      </c>
      <c r="C11" s="5" t="s">
        <v>17</v>
      </c>
      <c r="D11" s="6" t="s">
        <v>909</v>
      </c>
      <c r="E11" s="14" t="s">
        <v>974</v>
      </c>
      <c r="F11" s="7" t="s">
        <v>712</v>
      </c>
      <c r="G11" s="12" t="s">
        <v>969</v>
      </c>
      <c r="H11" s="14" t="s">
        <v>970</v>
      </c>
      <c r="I11" s="8">
        <v>8</v>
      </c>
      <c r="J11" s="16">
        <f>JG</f>
        <v>8</v>
      </c>
      <c r="K11" s="13">
        <v>24</v>
      </c>
      <c r="L11" s="16">
        <f t="shared" si="0"/>
        <v>192</v>
      </c>
      <c r="M11" s="16"/>
      <c r="N11" s="18">
        <f t="shared" si="1"/>
        <v>0</v>
      </c>
      <c r="O11" s="16"/>
      <c r="P11" s="18">
        <f t="shared" si="2"/>
        <v>0</v>
      </c>
    </row>
    <row r="12" spans="1:17" ht="24">
      <c r="A12" s="12">
        <v>11</v>
      </c>
      <c r="B12" s="2" t="s">
        <v>113</v>
      </c>
      <c r="C12" s="2" t="s">
        <v>88</v>
      </c>
      <c r="D12" s="1" t="s">
        <v>32</v>
      </c>
      <c r="E12" s="13" t="s">
        <v>827</v>
      </c>
      <c r="F12" s="2" t="s">
        <v>89</v>
      </c>
      <c r="G12" s="12" t="s">
        <v>824</v>
      </c>
      <c r="H12" s="14" t="s">
        <v>823</v>
      </c>
      <c r="I12" s="3" t="s">
        <v>90</v>
      </c>
      <c r="J12" s="16">
        <f>JG</f>
        <v>6.75</v>
      </c>
      <c r="K12" s="13">
        <v>46</v>
      </c>
      <c r="L12" s="16">
        <f t="shared" si="0"/>
        <v>310.5</v>
      </c>
      <c r="M12" s="16">
        <v>55.8</v>
      </c>
      <c r="N12" s="18">
        <f t="shared" si="1"/>
        <v>17.325899999999997</v>
      </c>
      <c r="O12" s="16">
        <v>1.35</v>
      </c>
      <c r="P12" s="18">
        <f t="shared" si="2"/>
        <v>419.17500000000001</v>
      </c>
    </row>
    <row r="13" spans="1:17" ht="24">
      <c r="A13" s="12">
        <v>12</v>
      </c>
      <c r="B13" s="2" t="s">
        <v>113</v>
      </c>
      <c r="C13" s="2" t="s">
        <v>88</v>
      </c>
      <c r="D13" s="1" t="s">
        <v>99</v>
      </c>
      <c r="E13" s="13" t="s">
        <v>828</v>
      </c>
      <c r="F13" s="2" t="s">
        <v>100</v>
      </c>
      <c r="G13" s="12" t="s">
        <v>824</v>
      </c>
      <c r="H13" s="14" t="s">
        <v>823</v>
      </c>
      <c r="I13" s="3" t="s">
        <v>101</v>
      </c>
      <c r="J13" s="16">
        <f>JG</f>
        <v>180</v>
      </c>
      <c r="K13" s="13">
        <v>1</v>
      </c>
      <c r="L13" s="16">
        <f t="shared" si="0"/>
        <v>180</v>
      </c>
      <c r="M13" s="16">
        <f>0.12*0.312*0.008*7850</f>
        <v>2.351232</v>
      </c>
      <c r="N13" s="18">
        <f t="shared" si="1"/>
        <v>0.42322176</v>
      </c>
      <c r="O13" s="16">
        <f>0.12*2*0.312</f>
        <v>7.4880000000000002E-2</v>
      </c>
      <c r="P13" s="18">
        <f t="shared" si="2"/>
        <v>13.478400000000001</v>
      </c>
    </row>
    <row r="14" spans="1:17" ht="24">
      <c r="A14" s="12">
        <v>13</v>
      </c>
      <c r="B14" s="2" t="s">
        <v>113</v>
      </c>
      <c r="C14" s="2" t="s">
        <v>88</v>
      </c>
      <c r="D14" s="1" t="s">
        <v>99</v>
      </c>
      <c r="E14" s="13" t="s">
        <v>828</v>
      </c>
      <c r="F14" s="2" t="s">
        <v>102</v>
      </c>
      <c r="G14" s="12" t="s">
        <v>824</v>
      </c>
      <c r="H14" s="14" t="s">
        <v>823</v>
      </c>
      <c r="I14" s="3" t="s">
        <v>103</v>
      </c>
      <c r="J14" s="16">
        <f>JG</f>
        <v>4</v>
      </c>
      <c r="K14" s="13">
        <v>1</v>
      </c>
      <c r="L14" s="16">
        <f t="shared" si="0"/>
        <v>4</v>
      </c>
      <c r="M14" s="16">
        <f>0.096*0.27*0.008*7850</f>
        <v>1.6277760000000001</v>
      </c>
      <c r="N14" s="18">
        <f t="shared" si="1"/>
        <v>6.5111040000000002E-3</v>
      </c>
      <c r="O14" s="16">
        <f>0.096*2*0.27</f>
        <v>5.1840000000000004E-2</v>
      </c>
      <c r="P14" s="18">
        <f t="shared" si="2"/>
        <v>0.20736000000000002</v>
      </c>
    </row>
    <row r="15" spans="1:17" ht="24">
      <c r="A15" s="12">
        <v>14</v>
      </c>
      <c r="B15" s="2" t="s">
        <v>113</v>
      </c>
      <c r="C15" s="2" t="s">
        <v>88</v>
      </c>
      <c r="D15" s="1" t="s">
        <v>91</v>
      </c>
      <c r="E15" s="13" t="s">
        <v>827</v>
      </c>
      <c r="F15" s="2" t="s">
        <v>89</v>
      </c>
      <c r="G15" s="12" t="s">
        <v>824</v>
      </c>
      <c r="H15" s="14" t="s">
        <v>823</v>
      </c>
      <c r="I15" s="3" t="s">
        <v>995</v>
      </c>
      <c r="J15" s="16">
        <f>JG</f>
        <v>0.59999999999999432</v>
      </c>
      <c r="K15" s="13">
        <v>1</v>
      </c>
      <c r="L15" s="16">
        <f t="shared" si="0"/>
        <v>0.59999999999999432</v>
      </c>
      <c r="M15" s="16">
        <v>55.8</v>
      </c>
      <c r="N15" s="18">
        <f t="shared" si="1"/>
        <v>3.3479999999999684E-2</v>
      </c>
      <c r="O15" s="16">
        <v>1.35</v>
      </c>
      <c r="P15" s="18">
        <f t="shared" si="2"/>
        <v>0.80999999999999239</v>
      </c>
      <c r="Q15" s="13" t="s">
        <v>93</v>
      </c>
    </row>
    <row r="16" spans="1:17" ht="24">
      <c r="A16" s="12">
        <v>15</v>
      </c>
      <c r="B16" s="2" t="s">
        <v>113</v>
      </c>
      <c r="C16" s="2" t="s">
        <v>88</v>
      </c>
      <c r="D16" s="1" t="s">
        <v>94</v>
      </c>
      <c r="E16" s="13" t="s">
        <v>836</v>
      </c>
      <c r="F16" s="2" t="s">
        <v>89</v>
      </c>
      <c r="G16" s="12" t="s">
        <v>824</v>
      </c>
      <c r="H16" s="14" t="s">
        <v>823</v>
      </c>
      <c r="I16" s="3">
        <v>6</v>
      </c>
      <c r="J16" s="16">
        <f>JG</f>
        <v>6</v>
      </c>
      <c r="K16" s="13">
        <v>2</v>
      </c>
      <c r="L16" s="16">
        <f t="shared" si="0"/>
        <v>12</v>
      </c>
      <c r="M16" s="16">
        <v>55.8</v>
      </c>
      <c r="N16" s="18">
        <f t="shared" si="1"/>
        <v>0.66959999999999997</v>
      </c>
      <c r="O16" s="16">
        <v>1.35</v>
      </c>
      <c r="P16" s="18">
        <f t="shared" si="2"/>
        <v>16.200000000000003</v>
      </c>
    </row>
    <row r="17" spans="1:17" ht="24">
      <c r="A17" s="12">
        <v>16</v>
      </c>
      <c r="B17" s="2" t="s">
        <v>113</v>
      </c>
      <c r="C17" s="2" t="s">
        <v>88</v>
      </c>
      <c r="D17" s="1" t="s">
        <v>70</v>
      </c>
      <c r="E17" s="13" t="s">
        <v>834</v>
      </c>
      <c r="F17" s="2" t="s">
        <v>28</v>
      </c>
      <c r="G17" s="12" t="s">
        <v>824</v>
      </c>
      <c r="H17" s="14" t="s">
        <v>823</v>
      </c>
      <c r="I17" s="3" t="s">
        <v>97</v>
      </c>
      <c r="J17" s="16">
        <f>JG</f>
        <v>389.7</v>
      </c>
      <c r="K17" s="13">
        <v>1</v>
      </c>
      <c r="L17" s="16">
        <f t="shared" si="0"/>
        <v>389.7</v>
      </c>
      <c r="M17" s="16">
        <v>78.099999999999994</v>
      </c>
      <c r="N17" s="18">
        <f t="shared" si="1"/>
        <v>30.435569999999998</v>
      </c>
      <c r="O17" s="16">
        <v>1.64</v>
      </c>
      <c r="P17" s="18">
        <f t="shared" si="2"/>
        <v>639.10799999999995</v>
      </c>
    </row>
    <row r="18" spans="1:17" ht="24">
      <c r="A18" s="12">
        <v>17</v>
      </c>
      <c r="B18" s="2" t="s">
        <v>113</v>
      </c>
      <c r="C18" s="2" t="s">
        <v>88</v>
      </c>
      <c r="D18" s="1" t="s">
        <v>25</v>
      </c>
      <c r="E18" s="13" t="s">
        <v>836</v>
      </c>
      <c r="F18" s="2" t="s">
        <v>29</v>
      </c>
      <c r="G18" s="12" t="s">
        <v>824</v>
      </c>
      <c r="H18" s="14" t="s">
        <v>823</v>
      </c>
      <c r="I18" s="3" t="s">
        <v>98</v>
      </c>
      <c r="J18" s="16">
        <f>JG</f>
        <v>187.25</v>
      </c>
      <c r="K18" s="13">
        <v>1</v>
      </c>
      <c r="L18" s="16">
        <f t="shared" si="0"/>
        <v>187.25</v>
      </c>
      <c r="M18" s="16">
        <v>20.9</v>
      </c>
      <c r="N18" s="18">
        <f t="shared" si="1"/>
        <v>3.9135249999999999</v>
      </c>
      <c r="O18" s="16">
        <v>0.77500000000000002</v>
      </c>
      <c r="P18" s="18">
        <f t="shared" si="2"/>
        <v>145.11875000000001</v>
      </c>
    </row>
    <row r="19" spans="1:17" ht="24">
      <c r="A19" s="12">
        <v>18</v>
      </c>
      <c r="B19" s="2" t="s">
        <v>113</v>
      </c>
      <c r="C19" s="2" t="s">
        <v>88</v>
      </c>
      <c r="D19" s="1" t="s">
        <v>99</v>
      </c>
      <c r="E19" s="13" t="s">
        <v>828</v>
      </c>
      <c r="F19" s="2" t="s">
        <v>102</v>
      </c>
      <c r="G19" s="12" t="s">
        <v>824</v>
      </c>
      <c r="H19" s="14" t="s">
        <v>823</v>
      </c>
      <c r="I19" s="3" t="s">
        <v>104</v>
      </c>
      <c r="J19" s="16">
        <f>JG</f>
        <v>140</v>
      </c>
      <c r="K19" s="13">
        <v>1</v>
      </c>
      <c r="L19" s="16">
        <f t="shared" si="0"/>
        <v>140</v>
      </c>
      <c r="M19" s="16">
        <f>0.096*0.27*0.008*7850</f>
        <v>1.6277760000000001</v>
      </c>
      <c r="N19" s="18">
        <f t="shared" si="1"/>
        <v>0.22788864</v>
      </c>
      <c r="O19" s="16">
        <f>0.096*2*0.27</f>
        <v>5.1840000000000004E-2</v>
      </c>
      <c r="P19" s="18">
        <f t="shared" si="2"/>
        <v>7.2576000000000009</v>
      </c>
    </row>
    <row r="20" spans="1:17" ht="24">
      <c r="A20" s="12">
        <v>19</v>
      </c>
      <c r="B20" s="2" t="s">
        <v>113</v>
      </c>
      <c r="C20" s="2" t="s">
        <v>88</v>
      </c>
      <c r="D20" s="1" t="s">
        <v>105</v>
      </c>
      <c r="E20" s="13" t="s">
        <v>830</v>
      </c>
      <c r="F20" s="2" t="s">
        <v>106</v>
      </c>
      <c r="G20" s="12" t="s">
        <v>824</v>
      </c>
      <c r="H20" s="14" t="s">
        <v>823</v>
      </c>
      <c r="I20" s="3" t="s">
        <v>79</v>
      </c>
      <c r="J20" s="16">
        <f>JG</f>
        <v>4.6097722286464435</v>
      </c>
      <c r="K20" s="13">
        <v>32</v>
      </c>
      <c r="L20" s="16">
        <f t="shared" si="0"/>
        <v>147.51271131668619</v>
      </c>
      <c r="M20" s="16">
        <v>14.5</v>
      </c>
      <c r="N20" s="18">
        <f t="shared" si="1"/>
        <v>2.1389343140919501</v>
      </c>
      <c r="O20" s="16">
        <v>0.49299999999999999</v>
      </c>
      <c r="P20" s="18">
        <f t="shared" si="2"/>
        <v>72.723766679126285</v>
      </c>
    </row>
    <row r="21" spans="1:17">
      <c r="A21" s="12">
        <v>20</v>
      </c>
      <c r="C21" s="2" t="s">
        <v>107</v>
      </c>
      <c r="D21" s="1" t="s">
        <v>81</v>
      </c>
      <c r="E21" s="13" t="s">
        <v>836</v>
      </c>
      <c r="F21" s="2" t="s">
        <v>82</v>
      </c>
      <c r="G21" s="12" t="s">
        <v>824</v>
      </c>
      <c r="H21" s="14" t="s">
        <v>823</v>
      </c>
      <c r="I21" s="3" t="s">
        <v>84</v>
      </c>
      <c r="J21" s="16">
        <f>JG</f>
        <v>6.9526973183074787</v>
      </c>
      <c r="K21" s="13">
        <v>20</v>
      </c>
      <c r="L21" s="16">
        <f t="shared" si="0"/>
        <v>139.05394636614957</v>
      </c>
      <c r="M21" s="16">
        <v>49.9</v>
      </c>
      <c r="N21" s="18">
        <f t="shared" si="1"/>
        <v>6.9387919236708644</v>
      </c>
      <c r="O21" s="16">
        <v>1.1599999999999999</v>
      </c>
      <c r="P21" s="18">
        <f t="shared" si="2"/>
        <v>161.3025777847335</v>
      </c>
      <c r="Q21" s="13" t="s">
        <v>85</v>
      </c>
    </row>
    <row r="22" spans="1:17">
      <c r="A22" s="13" t="s">
        <v>60</v>
      </c>
      <c r="N22" s="19">
        <f>SUBTOTAL(109,N2:N21)</f>
        <v>90.387676341762813</v>
      </c>
      <c r="P22" s="19">
        <f>SUBTOTAL(109,P2:P21)</f>
        <v>1947.4700944638598</v>
      </c>
    </row>
  </sheetData>
  <autoFilter ref="A1:Q21">
    <sortState ref="A6:R604">
      <sortCondition ref="A6:A604"/>
    </sortState>
  </autoFilter>
  <sortState ref="A2:Q15">
    <sortCondition ref="A2:A15"/>
  </sortState>
  <phoneticPr fontId="2" type="noConversion"/>
  <conditionalFormatting sqref="A1:Q1048576">
    <cfRule type="expression" dxfId="11" priority="1">
      <formula>($A1="序号")+($A1="汇总")</formula>
    </cfRule>
    <cfRule type="expression" dxfId="10" priority="2">
      <formula>($A1&amp;$B1&amp;$C1&amp;$D1&amp;$E1&amp;$F1&amp;$G1&amp;$H1&amp;$I1&amp;$J1&amp;$K1&amp;$L1&amp;$M1&amp;$N1&amp;$O1&amp;$P1&amp;$Q1&lt;&gt;"")</formula>
    </cfRule>
  </conditionalFormatting>
  <printOptions horizontalCentered="1"/>
  <pageMargins left="0.51181102362204722" right="0.51181102362204722" top="0.59055118110236227" bottom="0.39370078740157483" header="0.31496062992125984" footer="0.31496062992125984"/>
  <pageSetup paperSize="9" scale="83" fitToHeight="0" orientation="landscape" r:id="rId1"/>
  <headerFooter alignWithMargins="0">
    <oddFooter>&amp;C第 &amp;P 页，共 &amp;N 页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Q227"/>
  <sheetViews>
    <sheetView workbookViewId="0">
      <pane ySplit="1" topLeftCell="A205" activePane="bottomLeft" state="frozen"/>
      <selection activeCell="A36" sqref="A36"/>
      <selection pane="bottomLeft" activeCell="P227" sqref="P227"/>
    </sheetView>
  </sheetViews>
  <sheetFormatPr defaultColWidth="9" defaultRowHeight="12"/>
  <cols>
    <col min="1" max="1" width="4.375" style="13" customWidth="1"/>
    <col min="2" max="2" width="9" style="2" customWidth="1"/>
    <col min="3" max="3" width="13.625" style="2" customWidth="1"/>
    <col min="4" max="4" width="10.5" style="1" customWidth="1"/>
    <col min="5" max="5" width="12.5" style="13" customWidth="1"/>
    <col min="6" max="6" width="15.625" style="2" customWidth="1"/>
    <col min="7" max="7" width="7.5" style="13" customWidth="1"/>
    <col min="8" max="8" width="6.125" style="13" customWidth="1"/>
    <col min="9" max="9" width="18.5" style="3" customWidth="1"/>
    <col min="10" max="10" width="9.625" style="17" customWidth="1"/>
    <col min="11" max="11" width="7.5" style="13" customWidth="1"/>
    <col min="12" max="12" width="9" style="17"/>
    <col min="13" max="13" width="9.375" style="17" customWidth="1"/>
    <col min="14" max="14" width="8.625" style="19" customWidth="1"/>
    <col min="15" max="15" width="8.625" style="17" customWidth="1"/>
    <col min="16" max="16" width="9.5" style="19" bestFit="1" customWidth="1"/>
    <col min="17" max="17" width="9.125" style="13" customWidth="1"/>
    <col min="18" max="16384" width="9" style="13"/>
  </cols>
  <sheetData>
    <row r="1" spans="1:17" s="1" customFormat="1" ht="24">
      <c r="A1" s="4" t="s">
        <v>0</v>
      </c>
      <c r="B1" s="5" t="s">
        <v>1</v>
      </c>
      <c r="C1" s="5" t="s">
        <v>2</v>
      </c>
      <c r="D1" s="4" t="s">
        <v>3</v>
      </c>
      <c r="E1" s="4" t="s">
        <v>4</v>
      </c>
      <c r="F1" s="5" t="s">
        <v>5</v>
      </c>
      <c r="G1" s="4" t="s">
        <v>6</v>
      </c>
      <c r="H1" s="4" t="s">
        <v>7</v>
      </c>
      <c r="I1" s="5" t="s">
        <v>8</v>
      </c>
      <c r="J1" s="9" t="s">
        <v>9</v>
      </c>
      <c r="K1" s="4" t="s">
        <v>10</v>
      </c>
      <c r="L1" s="9" t="s">
        <v>11</v>
      </c>
      <c r="M1" s="9" t="s">
        <v>12</v>
      </c>
      <c r="N1" s="10" t="s">
        <v>13</v>
      </c>
      <c r="O1" s="9" t="s">
        <v>14</v>
      </c>
      <c r="P1" s="10" t="s">
        <v>15</v>
      </c>
      <c r="Q1" s="4" t="s">
        <v>16</v>
      </c>
    </row>
    <row r="2" spans="1:17" ht="24">
      <c r="A2" s="12">
        <v>1</v>
      </c>
      <c r="B2" s="20" t="s">
        <v>209</v>
      </c>
      <c r="C2" s="5" t="s">
        <v>210</v>
      </c>
      <c r="D2" s="1" t="s">
        <v>120</v>
      </c>
      <c r="E2" s="13" t="s">
        <v>827</v>
      </c>
      <c r="F2" s="2" t="s">
        <v>211</v>
      </c>
      <c r="G2" s="12" t="s">
        <v>824</v>
      </c>
      <c r="H2" s="14" t="s">
        <v>823</v>
      </c>
      <c r="I2" s="3" t="s">
        <v>1024</v>
      </c>
      <c r="J2" s="16">
        <f>JG</f>
        <v>5.47</v>
      </c>
      <c r="K2" s="13">
        <v>10</v>
      </c>
      <c r="L2" s="16">
        <f t="shared" ref="L2:L67" si="0">J2*K2</f>
        <v>54.699999999999996</v>
      </c>
      <c r="M2" s="16">
        <v>71.8</v>
      </c>
      <c r="N2" s="18">
        <f t="shared" ref="N2:N67" si="1">L2*M2*0.001</f>
        <v>3.9274599999999995</v>
      </c>
      <c r="O2" s="16">
        <v>1.46</v>
      </c>
      <c r="P2" s="18">
        <f t="shared" ref="P2:P67" si="2">O2*L2</f>
        <v>79.861999999999995</v>
      </c>
    </row>
    <row r="3" spans="1:17" ht="24">
      <c r="A3" s="12">
        <v>2</v>
      </c>
      <c r="B3" s="20" t="s">
        <v>209</v>
      </c>
      <c r="C3" s="5" t="s">
        <v>210</v>
      </c>
      <c r="D3" s="1" t="s">
        <v>589</v>
      </c>
      <c r="E3" s="13" t="s">
        <v>1073</v>
      </c>
      <c r="F3" s="2" t="s">
        <v>1074</v>
      </c>
      <c r="G3" s="12" t="s">
        <v>822</v>
      </c>
      <c r="H3" s="14" t="s">
        <v>823</v>
      </c>
      <c r="I3" s="3">
        <v>1</v>
      </c>
      <c r="J3" s="16">
        <f>JG</f>
        <v>1</v>
      </c>
      <c r="K3" s="13">
        <v>10</v>
      </c>
      <c r="L3" s="16">
        <f t="shared" ref="L3:L6" si="3">J3*K3</f>
        <v>10</v>
      </c>
      <c r="M3" s="16">
        <f>0.53*0.57*0.03*7850</f>
        <v>71.144549999999995</v>
      </c>
      <c r="N3" s="18">
        <f t="shared" si="1"/>
        <v>0.71144549999999995</v>
      </c>
      <c r="O3" s="16">
        <f>0.53*0.57</f>
        <v>0.30209999999999998</v>
      </c>
      <c r="P3" s="18">
        <f t="shared" si="2"/>
        <v>3.0209999999999999</v>
      </c>
    </row>
    <row r="4" spans="1:17" ht="24">
      <c r="A4" s="12">
        <v>3</v>
      </c>
      <c r="B4" s="20" t="s">
        <v>209</v>
      </c>
      <c r="C4" s="5" t="s">
        <v>210</v>
      </c>
      <c r="D4" s="1" t="s">
        <v>589</v>
      </c>
      <c r="E4" s="13" t="s">
        <v>1073</v>
      </c>
      <c r="F4" s="2" t="s">
        <v>479</v>
      </c>
      <c r="G4" s="12" t="s">
        <v>822</v>
      </c>
      <c r="H4" s="14" t="s">
        <v>823</v>
      </c>
      <c r="I4" s="3">
        <v>2</v>
      </c>
      <c r="J4" s="16">
        <f>JG</f>
        <v>2</v>
      </c>
      <c r="K4" s="13">
        <v>10</v>
      </c>
      <c r="L4" s="16">
        <f t="shared" si="3"/>
        <v>20</v>
      </c>
      <c r="M4" s="16"/>
      <c r="N4" s="18">
        <f t="shared" si="1"/>
        <v>0</v>
      </c>
      <c r="O4" s="16"/>
      <c r="P4" s="18">
        <f t="shared" si="2"/>
        <v>0</v>
      </c>
    </row>
    <row r="5" spans="1:17" ht="24">
      <c r="A5" s="12">
        <v>4</v>
      </c>
      <c r="B5" s="20" t="s">
        <v>209</v>
      </c>
      <c r="C5" s="5" t="s">
        <v>210</v>
      </c>
      <c r="D5" s="1" t="s">
        <v>589</v>
      </c>
      <c r="E5" s="13" t="s">
        <v>1073</v>
      </c>
      <c r="F5" s="2" t="s">
        <v>1069</v>
      </c>
      <c r="G5" s="12" t="s">
        <v>822</v>
      </c>
      <c r="H5" s="14" t="s">
        <v>823</v>
      </c>
      <c r="I5" s="3">
        <v>4</v>
      </c>
      <c r="J5" s="16">
        <f>JG</f>
        <v>4</v>
      </c>
      <c r="K5" s="13">
        <v>10</v>
      </c>
      <c r="L5" s="16">
        <f t="shared" si="3"/>
        <v>40</v>
      </c>
      <c r="M5" s="16"/>
      <c r="N5" s="18">
        <f t="shared" si="1"/>
        <v>0</v>
      </c>
      <c r="O5" s="16"/>
      <c r="P5" s="18">
        <f t="shared" si="2"/>
        <v>0</v>
      </c>
    </row>
    <row r="6" spans="1:17" ht="24">
      <c r="A6" s="12">
        <v>5</v>
      </c>
      <c r="B6" s="20" t="s">
        <v>209</v>
      </c>
      <c r="C6" s="5" t="s">
        <v>210</v>
      </c>
      <c r="D6" s="1" t="s">
        <v>589</v>
      </c>
      <c r="E6" s="13" t="s">
        <v>1073</v>
      </c>
      <c r="F6" s="2" t="s">
        <v>1069</v>
      </c>
      <c r="G6" s="12" t="s">
        <v>822</v>
      </c>
      <c r="H6" s="14" t="s">
        <v>823</v>
      </c>
      <c r="I6" s="3">
        <v>8</v>
      </c>
      <c r="J6" s="16">
        <f>JG</f>
        <v>8</v>
      </c>
      <c r="K6" s="13">
        <v>10</v>
      </c>
      <c r="L6" s="16">
        <f t="shared" si="3"/>
        <v>80</v>
      </c>
      <c r="M6" s="16"/>
      <c r="N6" s="18">
        <f t="shared" si="1"/>
        <v>0</v>
      </c>
      <c r="O6" s="16"/>
      <c r="P6" s="18">
        <f t="shared" si="2"/>
        <v>0</v>
      </c>
    </row>
    <row r="7" spans="1:17" ht="24">
      <c r="A7" s="12">
        <v>6</v>
      </c>
      <c r="B7" s="20" t="s">
        <v>875</v>
      </c>
      <c r="C7" s="5" t="s">
        <v>210</v>
      </c>
      <c r="D7" s="1" t="s">
        <v>212</v>
      </c>
      <c r="E7" s="13" t="s">
        <v>827</v>
      </c>
      <c r="F7" s="2" t="s">
        <v>213</v>
      </c>
      <c r="G7" s="12" t="s">
        <v>824</v>
      </c>
      <c r="H7" s="14" t="s">
        <v>823</v>
      </c>
      <c r="I7" s="3" t="s">
        <v>1025</v>
      </c>
      <c r="J7" s="16">
        <f>JG</f>
        <v>5.4640000000000004</v>
      </c>
      <c r="K7" s="13">
        <v>6</v>
      </c>
      <c r="L7" s="16">
        <f t="shared" si="0"/>
        <v>32.784000000000006</v>
      </c>
      <c r="M7" s="16">
        <v>93</v>
      </c>
      <c r="N7" s="18">
        <f t="shared" si="1"/>
        <v>3.048912000000001</v>
      </c>
      <c r="O7" s="16">
        <v>1.76</v>
      </c>
      <c r="P7" s="18">
        <f t="shared" si="2"/>
        <v>57.699840000000009</v>
      </c>
    </row>
    <row r="8" spans="1:17" ht="24">
      <c r="A8" s="12">
        <v>7</v>
      </c>
      <c r="B8" s="20" t="s">
        <v>209</v>
      </c>
      <c r="C8" s="5" t="s">
        <v>210</v>
      </c>
      <c r="D8" s="1" t="s">
        <v>589</v>
      </c>
      <c r="E8" s="13" t="s">
        <v>1073</v>
      </c>
      <c r="F8" s="7" t="s">
        <v>1076</v>
      </c>
      <c r="G8" s="12" t="s">
        <v>824</v>
      </c>
      <c r="H8" s="14" t="s">
        <v>823</v>
      </c>
      <c r="I8" s="8" t="s">
        <v>1051</v>
      </c>
      <c r="J8" s="16">
        <f>JG</f>
        <v>1</v>
      </c>
      <c r="K8" s="13">
        <v>6</v>
      </c>
      <c r="L8" s="16">
        <f t="shared" ref="L8:L11" si="4">J8*K8</f>
        <v>6</v>
      </c>
      <c r="M8" s="16">
        <f>0.61*0.66*0.036*7850</f>
        <v>113.77475999999999</v>
      </c>
      <c r="N8" s="18">
        <f t="shared" si="1"/>
        <v>0.68264855999999985</v>
      </c>
      <c r="O8" s="16">
        <f>0.61*0.66</f>
        <v>0.40260000000000001</v>
      </c>
      <c r="P8" s="18">
        <f t="shared" si="2"/>
        <v>2.4156</v>
      </c>
    </row>
    <row r="9" spans="1:17" ht="24">
      <c r="A9" s="12">
        <v>8</v>
      </c>
      <c r="B9" s="20" t="s">
        <v>209</v>
      </c>
      <c r="C9" s="5" t="s">
        <v>210</v>
      </c>
      <c r="D9" s="1" t="s">
        <v>589</v>
      </c>
      <c r="E9" s="13" t="s">
        <v>1073</v>
      </c>
      <c r="F9" s="7" t="s">
        <v>51</v>
      </c>
      <c r="G9" s="12" t="s">
        <v>822</v>
      </c>
      <c r="H9" s="14" t="s">
        <v>823</v>
      </c>
      <c r="I9" s="8" t="s">
        <v>1053</v>
      </c>
      <c r="J9" s="16">
        <f>JG</f>
        <v>2</v>
      </c>
      <c r="K9" s="13">
        <v>6</v>
      </c>
      <c r="L9" s="16">
        <f t="shared" si="4"/>
        <v>12</v>
      </c>
      <c r="M9" s="16"/>
      <c r="N9" s="18">
        <f t="shared" si="1"/>
        <v>0</v>
      </c>
      <c r="O9" s="16"/>
      <c r="P9" s="18">
        <f t="shared" si="2"/>
        <v>0</v>
      </c>
    </row>
    <row r="10" spans="1:17" ht="24">
      <c r="A10" s="12">
        <v>9</v>
      </c>
      <c r="B10" s="20" t="s">
        <v>209</v>
      </c>
      <c r="C10" s="5" t="s">
        <v>210</v>
      </c>
      <c r="D10" s="1" t="s">
        <v>589</v>
      </c>
      <c r="E10" s="13" t="s">
        <v>1073</v>
      </c>
      <c r="F10" s="7" t="s">
        <v>51</v>
      </c>
      <c r="G10" s="12" t="s">
        <v>822</v>
      </c>
      <c r="H10" s="14" t="s">
        <v>823</v>
      </c>
      <c r="I10" s="8" t="s">
        <v>1055</v>
      </c>
      <c r="J10" s="16">
        <f>JG</f>
        <v>4</v>
      </c>
      <c r="K10" s="13">
        <v>6</v>
      </c>
      <c r="L10" s="16">
        <f t="shared" si="4"/>
        <v>24</v>
      </c>
      <c r="M10" s="16"/>
      <c r="N10" s="18">
        <f t="shared" si="1"/>
        <v>0</v>
      </c>
      <c r="O10" s="16"/>
      <c r="P10" s="18">
        <f t="shared" si="2"/>
        <v>0</v>
      </c>
    </row>
    <row r="11" spans="1:17" ht="24">
      <c r="A11" s="12">
        <v>10</v>
      </c>
      <c r="B11" s="20" t="s">
        <v>209</v>
      </c>
      <c r="C11" s="5" t="s">
        <v>210</v>
      </c>
      <c r="D11" s="1" t="s">
        <v>589</v>
      </c>
      <c r="E11" s="13" t="s">
        <v>1073</v>
      </c>
      <c r="F11" s="7" t="s">
        <v>51</v>
      </c>
      <c r="G11" s="12" t="s">
        <v>822</v>
      </c>
      <c r="H11" s="14" t="s">
        <v>823</v>
      </c>
      <c r="I11" s="3">
        <v>8</v>
      </c>
      <c r="J11" s="16">
        <f>JG</f>
        <v>8</v>
      </c>
      <c r="K11" s="13">
        <v>6</v>
      </c>
      <c r="L11" s="16">
        <f t="shared" si="4"/>
        <v>48</v>
      </c>
      <c r="M11" s="16"/>
      <c r="N11" s="18">
        <f t="shared" si="1"/>
        <v>0</v>
      </c>
      <c r="O11" s="16"/>
      <c r="P11" s="18">
        <f t="shared" si="2"/>
        <v>0</v>
      </c>
    </row>
    <row r="12" spans="1:17" ht="24">
      <c r="A12" s="12">
        <v>11</v>
      </c>
      <c r="B12" s="20" t="s">
        <v>209</v>
      </c>
      <c r="C12" s="5" t="s">
        <v>214</v>
      </c>
      <c r="D12" s="1" t="s">
        <v>120</v>
      </c>
      <c r="E12" s="13" t="s">
        <v>827</v>
      </c>
      <c r="F12" s="2" t="s">
        <v>211</v>
      </c>
      <c r="G12" s="12" t="s">
        <v>824</v>
      </c>
      <c r="H12" s="14" t="s">
        <v>823</v>
      </c>
      <c r="I12" s="3" t="s">
        <v>1026</v>
      </c>
      <c r="J12" s="16">
        <f>JG</f>
        <v>5.47</v>
      </c>
      <c r="K12" s="13">
        <v>10</v>
      </c>
      <c r="L12" s="16">
        <f t="shared" si="0"/>
        <v>54.699999999999996</v>
      </c>
      <c r="M12" s="16">
        <v>71.8</v>
      </c>
      <c r="N12" s="18">
        <f t="shared" si="1"/>
        <v>3.9274599999999995</v>
      </c>
      <c r="O12" s="16">
        <v>1.46</v>
      </c>
      <c r="P12" s="18">
        <f t="shared" si="2"/>
        <v>79.861999999999995</v>
      </c>
    </row>
    <row r="13" spans="1:17" ht="24">
      <c r="A13" s="12">
        <v>12</v>
      </c>
      <c r="B13" s="20" t="s">
        <v>209</v>
      </c>
      <c r="C13" s="5" t="s">
        <v>214</v>
      </c>
      <c r="D13" s="1" t="s">
        <v>909</v>
      </c>
      <c r="E13" s="13" t="s">
        <v>974</v>
      </c>
      <c r="F13" s="2" t="s">
        <v>1048</v>
      </c>
      <c r="G13" s="12" t="s">
        <v>969</v>
      </c>
      <c r="H13" s="14" t="s">
        <v>970</v>
      </c>
      <c r="I13" s="3">
        <v>1</v>
      </c>
      <c r="J13" s="16">
        <f>JG</f>
        <v>1</v>
      </c>
      <c r="K13" s="13">
        <v>10</v>
      </c>
      <c r="L13" s="16">
        <f t="shared" si="0"/>
        <v>10</v>
      </c>
      <c r="M13" s="16">
        <f>0.53*0.57*0.03*7850</f>
        <v>71.144549999999995</v>
      </c>
      <c r="N13" s="18">
        <f t="shared" ref="N13:N16" si="5">L13*M13*0.001</f>
        <v>0.71144549999999995</v>
      </c>
      <c r="O13" s="16">
        <f>0.53*0.57</f>
        <v>0.30209999999999998</v>
      </c>
      <c r="P13" s="18">
        <f t="shared" ref="P13:P16" si="6">O13*L13</f>
        <v>3.0209999999999999</v>
      </c>
    </row>
    <row r="14" spans="1:17" ht="24">
      <c r="A14" s="12">
        <v>13</v>
      </c>
      <c r="B14" s="20" t="s">
        <v>209</v>
      </c>
      <c r="C14" s="5" t="s">
        <v>214</v>
      </c>
      <c r="D14" s="1" t="s">
        <v>909</v>
      </c>
      <c r="E14" s="13" t="s">
        <v>974</v>
      </c>
      <c r="F14" s="2" t="s">
        <v>712</v>
      </c>
      <c r="G14" s="12" t="s">
        <v>969</v>
      </c>
      <c r="H14" s="14" t="s">
        <v>970</v>
      </c>
      <c r="I14" s="3">
        <v>2</v>
      </c>
      <c r="J14" s="16">
        <f>JG</f>
        <v>2</v>
      </c>
      <c r="K14" s="13">
        <v>10</v>
      </c>
      <c r="L14" s="16">
        <f t="shared" si="0"/>
        <v>20</v>
      </c>
      <c r="M14" s="16"/>
      <c r="N14" s="18">
        <f t="shared" si="5"/>
        <v>0</v>
      </c>
      <c r="O14" s="16"/>
      <c r="P14" s="18">
        <f t="shared" si="6"/>
        <v>0</v>
      </c>
    </row>
    <row r="15" spans="1:17" ht="24">
      <c r="A15" s="12">
        <v>14</v>
      </c>
      <c r="B15" s="20" t="s">
        <v>209</v>
      </c>
      <c r="C15" s="5" t="s">
        <v>214</v>
      </c>
      <c r="D15" s="1" t="s">
        <v>909</v>
      </c>
      <c r="E15" s="13" t="s">
        <v>974</v>
      </c>
      <c r="F15" s="2" t="s">
        <v>712</v>
      </c>
      <c r="G15" s="12" t="s">
        <v>969</v>
      </c>
      <c r="H15" s="14" t="s">
        <v>970</v>
      </c>
      <c r="I15" s="3">
        <v>4</v>
      </c>
      <c r="J15" s="16">
        <f>JG</f>
        <v>4</v>
      </c>
      <c r="K15" s="13">
        <v>10</v>
      </c>
      <c r="L15" s="16">
        <f t="shared" si="0"/>
        <v>40</v>
      </c>
      <c r="M15" s="16"/>
      <c r="N15" s="18">
        <f t="shared" si="5"/>
        <v>0</v>
      </c>
      <c r="O15" s="16"/>
      <c r="P15" s="18">
        <f t="shared" si="6"/>
        <v>0</v>
      </c>
    </row>
    <row r="16" spans="1:17" ht="24">
      <c r="A16" s="12">
        <v>15</v>
      </c>
      <c r="B16" s="20" t="s">
        <v>209</v>
      </c>
      <c r="C16" s="5" t="s">
        <v>214</v>
      </c>
      <c r="D16" s="1" t="s">
        <v>909</v>
      </c>
      <c r="E16" s="13" t="s">
        <v>974</v>
      </c>
      <c r="F16" s="2" t="s">
        <v>712</v>
      </c>
      <c r="G16" s="12" t="s">
        <v>969</v>
      </c>
      <c r="H16" s="14" t="s">
        <v>970</v>
      </c>
      <c r="I16" s="3">
        <v>8</v>
      </c>
      <c r="J16" s="16">
        <f>JG</f>
        <v>8</v>
      </c>
      <c r="K16" s="13">
        <v>10</v>
      </c>
      <c r="L16" s="16">
        <f t="shared" si="0"/>
        <v>80</v>
      </c>
      <c r="M16" s="16"/>
      <c r="N16" s="18">
        <f t="shared" si="5"/>
        <v>0</v>
      </c>
      <c r="O16" s="16"/>
      <c r="P16" s="18">
        <f t="shared" si="6"/>
        <v>0</v>
      </c>
    </row>
    <row r="17" spans="1:16" ht="24">
      <c r="A17" s="12">
        <v>16</v>
      </c>
      <c r="B17" s="20" t="s">
        <v>209</v>
      </c>
      <c r="C17" s="5" t="s">
        <v>214</v>
      </c>
      <c r="D17" s="1" t="s">
        <v>212</v>
      </c>
      <c r="E17" s="13" t="s">
        <v>827</v>
      </c>
      <c r="F17" s="2" t="s">
        <v>213</v>
      </c>
      <c r="G17" s="12" t="s">
        <v>824</v>
      </c>
      <c r="H17" s="14" t="s">
        <v>823</v>
      </c>
      <c r="I17" s="3" t="s">
        <v>1025</v>
      </c>
      <c r="J17" s="16">
        <f>JG</f>
        <v>5.4640000000000004</v>
      </c>
      <c r="K17" s="13">
        <v>26</v>
      </c>
      <c r="L17" s="16">
        <f t="shared" si="0"/>
        <v>142.06400000000002</v>
      </c>
      <c r="M17" s="16">
        <v>93</v>
      </c>
      <c r="N17" s="18">
        <f t="shared" si="1"/>
        <v>13.211952000000002</v>
      </c>
      <c r="O17" s="16">
        <v>1.76</v>
      </c>
      <c r="P17" s="18">
        <f t="shared" si="2"/>
        <v>250.03264000000004</v>
      </c>
    </row>
    <row r="18" spans="1:16" ht="24">
      <c r="A18" s="12">
        <v>17</v>
      </c>
      <c r="B18" s="20" t="s">
        <v>209</v>
      </c>
      <c r="C18" s="5" t="s">
        <v>214</v>
      </c>
      <c r="D18" s="6" t="s">
        <v>909</v>
      </c>
      <c r="E18" s="14" t="s">
        <v>974</v>
      </c>
      <c r="F18" s="7" t="s">
        <v>1075</v>
      </c>
      <c r="G18" s="12" t="s">
        <v>969</v>
      </c>
      <c r="H18" s="14" t="s">
        <v>970</v>
      </c>
      <c r="I18" s="3" t="s">
        <v>1050</v>
      </c>
      <c r="J18" s="16">
        <f>JG</f>
        <v>1</v>
      </c>
      <c r="K18" s="13">
        <v>26</v>
      </c>
      <c r="L18" s="16">
        <f t="shared" si="0"/>
        <v>26</v>
      </c>
      <c r="M18" s="16">
        <f>0.61*0.66*0.036*7850</f>
        <v>113.77475999999999</v>
      </c>
      <c r="N18" s="18">
        <f t="shared" ref="N18:N21" si="7">L18*M18*0.001</f>
        <v>2.9581437599999996</v>
      </c>
      <c r="O18" s="16">
        <f>0.61*0.66</f>
        <v>0.40260000000000001</v>
      </c>
      <c r="P18" s="18">
        <f t="shared" ref="P18:P21" si="8">O18*L18</f>
        <v>10.467600000000001</v>
      </c>
    </row>
    <row r="19" spans="1:16" ht="24">
      <c r="A19" s="12">
        <v>18</v>
      </c>
      <c r="B19" s="20" t="s">
        <v>209</v>
      </c>
      <c r="C19" s="5" t="s">
        <v>214</v>
      </c>
      <c r="D19" s="6" t="s">
        <v>909</v>
      </c>
      <c r="E19" s="14" t="s">
        <v>974</v>
      </c>
      <c r="F19" s="7" t="s">
        <v>712</v>
      </c>
      <c r="G19" s="12" t="s">
        <v>969</v>
      </c>
      <c r="H19" s="14" t="s">
        <v>970</v>
      </c>
      <c r="I19" s="3" t="s">
        <v>1052</v>
      </c>
      <c r="J19" s="16">
        <f>JG</f>
        <v>2</v>
      </c>
      <c r="K19" s="13">
        <v>26</v>
      </c>
      <c r="L19" s="16">
        <f t="shared" si="0"/>
        <v>52</v>
      </c>
      <c r="M19" s="16"/>
      <c r="N19" s="18">
        <f t="shared" si="7"/>
        <v>0</v>
      </c>
      <c r="O19" s="16"/>
      <c r="P19" s="18">
        <f t="shared" si="8"/>
        <v>0</v>
      </c>
    </row>
    <row r="20" spans="1:16" ht="24">
      <c r="A20" s="12">
        <v>19</v>
      </c>
      <c r="B20" s="20" t="s">
        <v>209</v>
      </c>
      <c r="C20" s="5" t="s">
        <v>214</v>
      </c>
      <c r="D20" s="6" t="s">
        <v>909</v>
      </c>
      <c r="E20" s="14" t="s">
        <v>974</v>
      </c>
      <c r="F20" s="7" t="s">
        <v>712</v>
      </c>
      <c r="G20" s="12" t="s">
        <v>969</v>
      </c>
      <c r="H20" s="14" t="s">
        <v>970</v>
      </c>
      <c r="I20" s="3" t="s">
        <v>1054</v>
      </c>
      <c r="J20" s="16">
        <f>JG</f>
        <v>4</v>
      </c>
      <c r="K20" s="13">
        <v>26</v>
      </c>
      <c r="L20" s="16">
        <f t="shared" si="0"/>
        <v>104</v>
      </c>
      <c r="M20" s="16"/>
      <c r="N20" s="18">
        <f t="shared" si="7"/>
        <v>0</v>
      </c>
      <c r="O20" s="16"/>
      <c r="P20" s="18">
        <f t="shared" si="8"/>
        <v>0</v>
      </c>
    </row>
    <row r="21" spans="1:16" ht="24">
      <c r="A21" s="12">
        <v>20</v>
      </c>
      <c r="B21" s="20" t="s">
        <v>209</v>
      </c>
      <c r="C21" s="5" t="s">
        <v>214</v>
      </c>
      <c r="D21" s="6" t="s">
        <v>909</v>
      </c>
      <c r="E21" s="14" t="s">
        <v>974</v>
      </c>
      <c r="F21" s="7" t="s">
        <v>712</v>
      </c>
      <c r="G21" s="12" t="s">
        <v>969</v>
      </c>
      <c r="H21" s="14" t="s">
        <v>970</v>
      </c>
      <c r="I21" s="3">
        <v>8</v>
      </c>
      <c r="J21" s="16">
        <f>JG</f>
        <v>8</v>
      </c>
      <c r="K21" s="13">
        <v>26</v>
      </c>
      <c r="L21" s="16">
        <f t="shared" si="0"/>
        <v>208</v>
      </c>
      <c r="M21" s="16"/>
      <c r="N21" s="18">
        <f t="shared" si="7"/>
        <v>0</v>
      </c>
      <c r="O21" s="16"/>
      <c r="P21" s="18">
        <f t="shared" si="8"/>
        <v>0</v>
      </c>
    </row>
    <row r="22" spans="1:16" ht="24">
      <c r="A22" s="12">
        <v>21</v>
      </c>
      <c r="B22" s="20" t="s">
        <v>876</v>
      </c>
      <c r="C22" s="5" t="s">
        <v>215</v>
      </c>
      <c r="D22" s="1" t="s">
        <v>216</v>
      </c>
      <c r="E22" s="13" t="s">
        <v>827</v>
      </c>
      <c r="F22" s="2" t="s">
        <v>82</v>
      </c>
      <c r="G22" s="12" t="s">
        <v>824</v>
      </c>
      <c r="H22" s="14" t="s">
        <v>823</v>
      </c>
      <c r="I22" s="3" t="s">
        <v>1027</v>
      </c>
      <c r="J22" s="16">
        <f>JG</f>
        <v>6.97</v>
      </c>
      <c r="K22" s="13">
        <v>2</v>
      </c>
      <c r="L22" s="16">
        <f t="shared" si="0"/>
        <v>13.94</v>
      </c>
      <c r="M22" s="16">
        <v>56.2</v>
      </c>
      <c r="N22" s="18">
        <f t="shared" si="1"/>
        <v>0.78342800000000001</v>
      </c>
      <c r="O22" s="16">
        <v>1.17</v>
      </c>
      <c r="P22" s="18">
        <f t="shared" si="2"/>
        <v>16.309799999999999</v>
      </c>
    </row>
    <row r="23" spans="1:16" ht="24">
      <c r="A23" s="12">
        <v>22</v>
      </c>
      <c r="B23" s="20" t="s">
        <v>209</v>
      </c>
      <c r="C23" s="5" t="s">
        <v>215</v>
      </c>
      <c r="D23" s="6" t="s">
        <v>909</v>
      </c>
      <c r="E23" s="14" t="s">
        <v>974</v>
      </c>
      <c r="F23" s="2" t="s">
        <v>1078</v>
      </c>
      <c r="G23" s="12" t="s">
        <v>822</v>
      </c>
      <c r="H23" s="14" t="s">
        <v>823</v>
      </c>
      <c r="I23" s="3">
        <v>1</v>
      </c>
      <c r="J23" s="16">
        <f>JG</f>
        <v>1</v>
      </c>
      <c r="K23" s="13">
        <v>2</v>
      </c>
      <c r="L23" s="16">
        <f t="shared" ref="L23:L25" si="9">J23*K23</f>
        <v>2</v>
      </c>
      <c r="M23" s="16">
        <f>0.48*0.4*0.03*7850</f>
        <v>45.215999999999994</v>
      </c>
      <c r="N23" s="18">
        <f t="shared" si="1"/>
        <v>9.0431999999999985E-2</v>
      </c>
      <c r="O23" s="16">
        <f>0.48*0.4</f>
        <v>0.192</v>
      </c>
      <c r="P23" s="18">
        <f t="shared" si="2"/>
        <v>0.38400000000000001</v>
      </c>
    </row>
    <row r="24" spans="1:16" ht="24">
      <c r="A24" s="12">
        <v>23</v>
      </c>
      <c r="B24" s="20" t="s">
        <v>209</v>
      </c>
      <c r="C24" s="5" t="s">
        <v>215</v>
      </c>
      <c r="D24" s="6" t="s">
        <v>909</v>
      </c>
      <c r="E24" s="14" t="s">
        <v>974</v>
      </c>
      <c r="F24" s="7" t="s">
        <v>712</v>
      </c>
      <c r="G24" s="12" t="s">
        <v>822</v>
      </c>
      <c r="H24" s="14" t="s">
        <v>823</v>
      </c>
      <c r="I24" s="3">
        <v>4</v>
      </c>
      <c r="J24" s="16">
        <f>JG</f>
        <v>4</v>
      </c>
      <c r="K24" s="13">
        <v>2</v>
      </c>
      <c r="L24" s="16">
        <f t="shared" si="9"/>
        <v>8</v>
      </c>
      <c r="M24" s="16"/>
      <c r="N24" s="18">
        <f t="shared" si="1"/>
        <v>0</v>
      </c>
      <c r="O24" s="16"/>
      <c r="P24" s="18">
        <f t="shared" si="2"/>
        <v>0</v>
      </c>
    </row>
    <row r="25" spans="1:16" ht="24">
      <c r="A25" s="12">
        <v>24</v>
      </c>
      <c r="B25" s="20" t="s">
        <v>209</v>
      </c>
      <c r="C25" s="5" t="s">
        <v>215</v>
      </c>
      <c r="D25" s="6" t="s">
        <v>909</v>
      </c>
      <c r="E25" s="14" t="s">
        <v>974</v>
      </c>
      <c r="F25" s="7" t="s">
        <v>712</v>
      </c>
      <c r="G25" s="12" t="s">
        <v>822</v>
      </c>
      <c r="H25" s="14" t="s">
        <v>823</v>
      </c>
      <c r="I25" s="3">
        <v>6</v>
      </c>
      <c r="J25" s="16">
        <f>JG</f>
        <v>6</v>
      </c>
      <c r="K25" s="13">
        <v>2</v>
      </c>
      <c r="L25" s="16">
        <f t="shared" si="9"/>
        <v>12</v>
      </c>
      <c r="M25" s="16"/>
      <c r="N25" s="18">
        <f t="shared" si="1"/>
        <v>0</v>
      </c>
      <c r="O25" s="16"/>
      <c r="P25" s="18">
        <f t="shared" si="2"/>
        <v>0</v>
      </c>
    </row>
    <row r="26" spans="1:16" ht="24">
      <c r="A26" s="12">
        <v>25</v>
      </c>
      <c r="B26" s="20" t="s">
        <v>876</v>
      </c>
      <c r="C26" s="5" t="s">
        <v>215</v>
      </c>
      <c r="D26" s="1" t="s">
        <v>120</v>
      </c>
      <c r="E26" s="13" t="s">
        <v>827</v>
      </c>
      <c r="F26" s="2" t="s">
        <v>211</v>
      </c>
      <c r="G26" s="12" t="s">
        <v>824</v>
      </c>
      <c r="H26" s="14" t="s">
        <v>823</v>
      </c>
      <c r="I26" s="3" t="s">
        <v>1026</v>
      </c>
      <c r="J26" s="16">
        <f>JG</f>
        <v>5.47</v>
      </c>
      <c r="K26" s="13">
        <v>8</v>
      </c>
      <c r="L26" s="16">
        <f t="shared" si="0"/>
        <v>43.76</v>
      </c>
      <c r="M26" s="16">
        <v>71.8</v>
      </c>
      <c r="N26" s="18">
        <f t="shared" si="1"/>
        <v>3.1419679999999999</v>
      </c>
      <c r="O26" s="16">
        <v>1.46</v>
      </c>
      <c r="P26" s="18">
        <f t="shared" si="2"/>
        <v>63.889599999999994</v>
      </c>
    </row>
    <row r="27" spans="1:16" ht="24">
      <c r="A27" s="12">
        <v>26</v>
      </c>
      <c r="B27" s="20" t="s">
        <v>209</v>
      </c>
      <c r="C27" s="5" t="s">
        <v>215</v>
      </c>
      <c r="D27" s="1" t="s">
        <v>909</v>
      </c>
      <c r="E27" s="13" t="s">
        <v>974</v>
      </c>
      <c r="F27" s="2" t="s">
        <v>1048</v>
      </c>
      <c r="G27" s="12" t="s">
        <v>969</v>
      </c>
      <c r="H27" s="14" t="s">
        <v>970</v>
      </c>
      <c r="I27" s="3">
        <v>1</v>
      </c>
      <c r="J27" s="16">
        <f>JG</f>
        <v>1</v>
      </c>
      <c r="K27" s="13">
        <v>8</v>
      </c>
      <c r="L27" s="16">
        <f t="shared" ref="L27:L30" si="10">J27*K27</f>
        <v>8</v>
      </c>
      <c r="M27" s="16">
        <f>0.53*0.57*0.03*7850</f>
        <v>71.144549999999995</v>
      </c>
      <c r="N27" s="18">
        <f t="shared" si="1"/>
        <v>0.56915640000000001</v>
      </c>
      <c r="O27" s="16">
        <f>0.53*0.57</f>
        <v>0.30209999999999998</v>
      </c>
      <c r="P27" s="18">
        <f t="shared" si="2"/>
        <v>2.4167999999999998</v>
      </c>
    </row>
    <row r="28" spans="1:16" ht="24">
      <c r="A28" s="12">
        <v>27</v>
      </c>
      <c r="B28" s="20" t="s">
        <v>209</v>
      </c>
      <c r="C28" s="5" t="s">
        <v>215</v>
      </c>
      <c r="D28" s="1" t="s">
        <v>909</v>
      </c>
      <c r="E28" s="13" t="s">
        <v>974</v>
      </c>
      <c r="F28" s="2" t="s">
        <v>712</v>
      </c>
      <c r="G28" s="12" t="s">
        <v>969</v>
      </c>
      <c r="H28" s="14" t="s">
        <v>970</v>
      </c>
      <c r="I28" s="3">
        <v>2</v>
      </c>
      <c r="J28" s="16">
        <f>JG</f>
        <v>2</v>
      </c>
      <c r="K28" s="13">
        <v>8</v>
      </c>
      <c r="L28" s="16">
        <f t="shared" si="10"/>
        <v>16</v>
      </c>
      <c r="M28" s="16"/>
      <c r="N28" s="18">
        <f t="shared" si="1"/>
        <v>0</v>
      </c>
      <c r="O28" s="16"/>
      <c r="P28" s="18">
        <f t="shared" si="2"/>
        <v>0</v>
      </c>
    </row>
    <row r="29" spans="1:16" ht="24">
      <c r="A29" s="12">
        <v>28</v>
      </c>
      <c r="B29" s="20" t="s">
        <v>209</v>
      </c>
      <c r="C29" s="5" t="s">
        <v>215</v>
      </c>
      <c r="D29" s="1" t="s">
        <v>909</v>
      </c>
      <c r="E29" s="13" t="s">
        <v>974</v>
      </c>
      <c r="F29" s="2" t="s">
        <v>712</v>
      </c>
      <c r="G29" s="12" t="s">
        <v>969</v>
      </c>
      <c r="H29" s="14" t="s">
        <v>970</v>
      </c>
      <c r="I29" s="3">
        <v>4</v>
      </c>
      <c r="J29" s="16">
        <f>JG</f>
        <v>4</v>
      </c>
      <c r="K29" s="13">
        <v>8</v>
      </c>
      <c r="L29" s="16">
        <f t="shared" si="10"/>
        <v>32</v>
      </c>
      <c r="M29" s="16"/>
      <c r="N29" s="18">
        <f t="shared" si="1"/>
        <v>0</v>
      </c>
      <c r="O29" s="16"/>
      <c r="P29" s="18">
        <f t="shared" si="2"/>
        <v>0</v>
      </c>
    </row>
    <row r="30" spans="1:16" ht="24">
      <c r="A30" s="12">
        <v>29</v>
      </c>
      <c r="B30" s="20" t="s">
        <v>209</v>
      </c>
      <c r="C30" s="5" t="s">
        <v>215</v>
      </c>
      <c r="D30" s="1" t="s">
        <v>909</v>
      </c>
      <c r="E30" s="13" t="s">
        <v>974</v>
      </c>
      <c r="F30" s="2" t="s">
        <v>712</v>
      </c>
      <c r="G30" s="12" t="s">
        <v>969</v>
      </c>
      <c r="H30" s="14" t="s">
        <v>970</v>
      </c>
      <c r="I30" s="3">
        <v>8</v>
      </c>
      <c r="J30" s="16">
        <f>JG</f>
        <v>8</v>
      </c>
      <c r="K30" s="13">
        <v>8</v>
      </c>
      <c r="L30" s="16">
        <f t="shared" si="10"/>
        <v>64</v>
      </c>
      <c r="M30" s="16"/>
      <c r="N30" s="18">
        <f t="shared" si="1"/>
        <v>0</v>
      </c>
      <c r="O30" s="16"/>
      <c r="P30" s="18">
        <f t="shared" si="2"/>
        <v>0</v>
      </c>
    </row>
    <row r="31" spans="1:16" ht="24">
      <c r="A31" s="12">
        <v>30</v>
      </c>
      <c r="B31" s="20" t="s">
        <v>876</v>
      </c>
      <c r="C31" s="5" t="s">
        <v>215</v>
      </c>
      <c r="D31" s="1" t="s">
        <v>212</v>
      </c>
      <c r="E31" s="13" t="s">
        <v>827</v>
      </c>
      <c r="F31" s="2" t="s">
        <v>213</v>
      </c>
      <c r="G31" s="12" t="s">
        <v>824</v>
      </c>
      <c r="H31" s="14" t="s">
        <v>823</v>
      </c>
      <c r="I31" s="3" t="s">
        <v>1028</v>
      </c>
      <c r="J31" s="16">
        <f>JG</f>
        <v>5.4640000000000004</v>
      </c>
      <c r="K31" s="13">
        <v>8</v>
      </c>
      <c r="L31" s="16">
        <f t="shared" si="0"/>
        <v>43.712000000000003</v>
      </c>
      <c r="M31" s="16">
        <v>93</v>
      </c>
      <c r="N31" s="18">
        <f t="shared" si="1"/>
        <v>4.0652160000000004</v>
      </c>
      <c r="O31" s="16">
        <v>1.76</v>
      </c>
      <c r="P31" s="18">
        <f t="shared" si="2"/>
        <v>76.933120000000002</v>
      </c>
    </row>
    <row r="32" spans="1:16" ht="24">
      <c r="A32" s="12">
        <v>31</v>
      </c>
      <c r="B32" s="20" t="s">
        <v>876</v>
      </c>
      <c r="C32" s="5" t="s">
        <v>215</v>
      </c>
      <c r="D32" s="1" t="s">
        <v>212</v>
      </c>
      <c r="E32" s="13" t="s">
        <v>827</v>
      </c>
      <c r="F32" s="2" t="s">
        <v>213</v>
      </c>
      <c r="G32" s="12" t="s">
        <v>824</v>
      </c>
      <c r="H32" s="14" t="s">
        <v>823</v>
      </c>
      <c r="I32" s="3" t="s">
        <v>1029</v>
      </c>
      <c r="J32" s="16">
        <f>JG</f>
        <v>6.9640000000000004</v>
      </c>
      <c r="K32" s="13">
        <v>4</v>
      </c>
      <c r="L32" s="16">
        <f t="shared" si="0"/>
        <v>27.856000000000002</v>
      </c>
      <c r="M32" s="16">
        <v>93</v>
      </c>
      <c r="N32" s="18">
        <f t="shared" si="1"/>
        <v>2.590608</v>
      </c>
      <c r="O32" s="16">
        <v>1.76</v>
      </c>
      <c r="P32" s="18">
        <f t="shared" si="2"/>
        <v>49.026560000000003</v>
      </c>
    </row>
    <row r="33" spans="1:16" ht="24">
      <c r="A33" s="12">
        <v>32</v>
      </c>
      <c r="B33" s="20" t="s">
        <v>209</v>
      </c>
      <c r="C33" s="5" t="s">
        <v>215</v>
      </c>
      <c r="D33" s="6" t="s">
        <v>909</v>
      </c>
      <c r="E33" s="14" t="s">
        <v>974</v>
      </c>
      <c r="F33" s="7" t="s">
        <v>1075</v>
      </c>
      <c r="G33" s="12" t="s">
        <v>969</v>
      </c>
      <c r="H33" s="14" t="s">
        <v>970</v>
      </c>
      <c r="I33" s="3" t="s">
        <v>1050</v>
      </c>
      <c r="J33" s="16">
        <f>JG</f>
        <v>1</v>
      </c>
      <c r="K33" s="13">
        <v>12</v>
      </c>
      <c r="L33" s="16">
        <f t="shared" si="0"/>
        <v>12</v>
      </c>
      <c r="M33" s="16">
        <f>0.61*0.66*0.036*7850</f>
        <v>113.77475999999999</v>
      </c>
      <c r="N33" s="18">
        <f t="shared" ref="N33:N36" si="11">L33*M33*0.001</f>
        <v>1.3652971199999997</v>
      </c>
      <c r="O33" s="16">
        <f>0.61*0.66</f>
        <v>0.40260000000000001</v>
      </c>
      <c r="P33" s="18">
        <f t="shared" ref="P33:P36" si="12">O33*L33</f>
        <v>4.8311999999999999</v>
      </c>
    </row>
    <row r="34" spans="1:16" ht="24">
      <c r="A34" s="12">
        <v>33</v>
      </c>
      <c r="B34" s="20" t="s">
        <v>209</v>
      </c>
      <c r="C34" s="5" t="s">
        <v>215</v>
      </c>
      <c r="D34" s="6" t="s">
        <v>909</v>
      </c>
      <c r="E34" s="14" t="s">
        <v>974</v>
      </c>
      <c r="F34" s="7" t="s">
        <v>712</v>
      </c>
      <c r="G34" s="12" t="s">
        <v>969</v>
      </c>
      <c r="H34" s="14" t="s">
        <v>970</v>
      </c>
      <c r="I34" s="3" t="s">
        <v>1052</v>
      </c>
      <c r="J34" s="16">
        <f>JG</f>
        <v>2</v>
      </c>
      <c r="K34" s="13">
        <v>12</v>
      </c>
      <c r="L34" s="16">
        <f t="shared" si="0"/>
        <v>24</v>
      </c>
      <c r="M34" s="16"/>
      <c r="N34" s="18">
        <f t="shared" si="11"/>
        <v>0</v>
      </c>
      <c r="O34" s="16"/>
      <c r="P34" s="18">
        <f t="shared" si="12"/>
        <v>0</v>
      </c>
    </row>
    <row r="35" spans="1:16" ht="24">
      <c r="A35" s="12">
        <v>34</v>
      </c>
      <c r="B35" s="20" t="s">
        <v>209</v>
      </c>
      <c r="C35" s="5" t="s">
        <v>215</v>
      </c>
      <c r="D35" s="6" t="s">
        <v>909</v>
      </c>
      <c r="E35" s="14" t="s">
        <v>974</v>
      </c>
      <c r="F35" s="7" t="s">
        <v>712</v>
      </c>
      <c r="G35" s="12" t="s">
        <v>969</v>
      </c>
      <c r="H35" s="14" t="s">
        <v>970</v>
      </c>
      <c r="I35" s="3" t="s">
        <v>1054</v>
      </c>
      <c r="J35" s="16">
        <f>JG</f>
        <v>4</v>
      </c>
      <c r="K35" s="13">
        <v>12</v>
      </c>
      <c r="L35" s="16">
        <f t="shared" si="0"/>
        <v>48</v>
      </c>
      <c r="M35" s="16"/>
      <c r="N35" s="18">
        <f t="shared" si="11"/>
        <v>0</v>
      </c>
      <c r="O35" s="16"/>
      <c r="P35" s="18">
        <f t="shared" si="12"/>
        <v>0</v>
      </c>
    </row>
    <row r="36" spans="1:16" ht="24">
      <c r="A36" s="12">
        <v>35</v>
      </c>
      <c r="B36" s="20" t="s">
        <v>209</v>
      </c>
      <c r="C36" s="5" t="s">
        <v>215</v>
      </c>
      <c r="D36" s="6" t="s">
        <v>909</v>
      </c>
      <c r="E36" s="14" t="s">
        <v>974</v>
      </c>
      <c r="F36" s="7" t="s">
        <v>712</v>
      </c>
      <c r="G36" s="12" t="s">
        <v>969</v>
      </c>
      <c r="H36" s="14" t="s">
        <v>970</v>
      </c>
      <c r="I36" s="3">
        <v>8</v>
      </c>
      <c r="J36" s="16">
        <f>JG</f>
        <v>8</v>
      </c>
      <c r="K36" s="13">
        <v>12</v>
      </c>
      <c r="L36" s="16">
        <f t="shared" si="0"/>
        <v>96</v>
      </c>
      <c r="M36" s="16"/>
      <c r="N36" s="18">
        <f t="shared" si="11"/>
        <v>0</v>
      </c>
      <c r="O36" s="16"/>
      <c r="P36" s="18">
        <f t="shared" si="12"/>
        <v>0</v>
      </c>
    </row>
    <row r="37" spans="1:16" ht="24">
      <c r="A37" s="12">
        <v>36</v>
      </c>
      <c r="B37" s="20" t="s">
        <v>876</v>
      </c>
      <c r="C37" s="5" t="s">
        <v>217</v>
      </c>
      <c r="D37" s="1" t="s">
        <v>218</v>
      </c>
      <c r="E37" s="13" t="s">
        <v>827</v>
      </c>
      <c r="F37" s="2" t="s">
        <v>219</v>
      </c>
      <c r="G37" s="12" t="s">
        <v>824</v>
      </c>
      <c r="H37" s="14" t="s">
        <v>823</v>
      </c>
      <c r="I37" s="3" t="s">
        <v>1030</v>
      </c>
      <c r="J37" s="16">
        <f>JG</f>
        <v>6.952</v>
      </c>
      <c r="K37" s="13">
        <v>4</v>
      </c>
      <c r="L37" s="16">
        <f t="shared" si="0"/>
        <v>27.808</v>
      </c>
      <c r="M37" s="16">
        <v>172</v>
      </c>
      <c r="N37" s="18">
        <f t="shared" si="1"/>
        <v>4.7829759999999997</v>
      </c>
      <c r="O37" s="16">
        <v>2.34</v>
      </c>
      <c r="P37" s="18">
        <f t="shared" si="2"/>
        <v>65.070719999999994</v>
      </c>
    </row>
    <row r="38" spans="1:16" ht="24">
      <c r="A38" s="12">
        <v>37</v>
      </c>
      <c r="B38" s="20" t="s">
        <v>209</v>
      </c>
      <c r="C38" s="5" t="s">
        <v>217</v>
      </c>
      <c r="D38" s="6" t="s">
        <v>909</v>
      </c>
      <c r="E38" s="14" t="s">
        <v>974</v>
      </c>
      <c r="F38" s="2" t="s">
        <v>1079</v>
      </c>
      <c r="G38" s="12" t="s">
        <v>822</v>
      </c>
      <c r="H38" s="14" t="s">
        <v>823</v>
      </c>
      <c r="I38" s="3">
        <v>1</v>
      </c>
      <c r="J38" s="16">
        <f>JG</f>
        <v>1</v>
      </c>
      <c r="K38" s="13">
        <v>4</v>
      </c>
      <c r="L38" s="16">
        <f t="shared" ref="L38:L41" si="13">J38*K38</f>
        <v>4</v>
      </c>
      <c r="M38" s="16">
        <f>0.8*0.84*0.048*7850</f>
        <v>253.20959999999999</v>
      </c>
      <c r="N38" s="18">
        <f t="shared" si="1"/>
        <v>1.0128383999999999</v>
      </c>
      <c r="O38" s="16">
        <f>0.8*0.84</f>
        <v>0.67200000000000004</v>
      </c>
      <c r="P38" s="18">
        <f t="shared" si="2"/>
        <v>2.6880000000000002</v>
      </c>
    </row>
    <row r="39" spans="1:16" ht="24">
      <c r="A39" s="12">
        <v>38</v>
      </c>
      <c r="B39" s="20" t="s">
        <v>209</v>
      </c>
      <c r="C39" s="5" t="s">
        <v>217</v>
      </c>
      <c r="D39" s="6" t="s">
        <v>909</v>
      </c>
      <c r="E39" s="14" t="s">
        <v>974</v>
      </c>
      <c r="F39" s="7" t="s">
        <v>712</v>
      </c>
      <c r="G39" s="12" t="s">
        <v>822</v>
      </c>
      <c r="H39" s="14" t="s">
        <v>823</v>
      </c>
      <c r="I39" s="3">
        <v>2</v>
      </c>
      <c r="J39" s="16">
        <f>JG</f>
        <v>2</v>
      </c>
      <c r="K39" s="13">
        <v>4</v>
      </c>
      <c r="L39" s="16">
        <f t="shared" si="13"/>
        <v>8</v>
      </c>
      <c r="M39" s="16"/>
      <c r="N39" s="18">
        <f t="shared" si="1"/>
        <v>0</v>
      </c>
      <c r="O39" s="16"/>
      <c r="P39" s="18">
        <f t="shared" si="2"/>
        <v>0</v>
      </c>
    </row>
    <row r="40" spans="1:16" ht="24">
      <c r="A40" s="12">
        <v>39</v>
      </c>
      <c r="B40" s="20" t="s">
        <v>209</v>
      </c>
      <c r="C40" s="5" t="s">
        <v>217</v>
      </c>
      <c r="D40" s="6" t="s">
        <v>909</v>
      </c>
      <c r="E40" s="14" t="s">
        <v>974</v>
      </c>
      <c r="F40" s="7" t="s">
        <v>712</v>
      </c>
      <c r="G40" s="12" t="s">
        <v>822</v>
      </c>
      <c r="H40" s="14" t="s">
        <v>823</v>
      </c>
      <c r="I40" s="3">
        <v>4</v>
      </c>
      <c r="J40" s="16">
        <f>JG</f>
        <v>4</v>
      </c>
      <c r="K40" s="13">
        <v>4</v>
      </c>
      <c r="L40" s="16">
        <f t="shared" si="13"/>
        <v>16</v>
      </c>
      <c r="M40" s="16"/>
      <c r="N40" s="18">
        <f t="shared" si="1"/>
        <v>0</v>
      </c>
      <c r="O40" s="16"/>
      <c r="P40" s="18">
        <f t="shared" si="2"/>
        <v>0</v>
      </c>
    </row>
    <row r="41" spans="1:16" ht="24">
      <c r="A41" s="12">
        <v>40</v>
      </c>
      <c r="B41" s="20" t="s">
        <v>209</v>
      </c>
      <c r="C41" s="5" t="s">
        <v>217</v>
      </c>
      <c r="D41" s="6" t="s">
        <v>909</v>
      </c>
      <c r="E41" s="14" t="s">
        <v>974</v>
      </c>
      <c r="F41" s="7" t="s">
        <v>712</v>
      </c>
      <c r="G41" s="12" t="s">
        <v>822</v>
      </c>
      <c r="H41" s="14" t="s">
        <v>823</v>
      </c>
      <c r="I41" s="3">
        <v>8</v>
      </c>
      <c r="J41" s="16">
        <f>JG</f>
        <v>8</v>
      </c>
      <c r="K41" s="13">
        <v>4</v>
      </c>
      <c r="L41" s="16">
        <f t="shared" si="13"/>
        <v>32</v>
      </c>
      <c r="M41" s="16"/>
      <c r="N41" s="18">
        <f t="shared" si="1"/>
        <v>0</v>
      </c>
      <c r="O41" s="16"/>
      <c r="P41" s="18">
        <f t="shared" si="2"/>
        <v>0</v>
      </c>
    </row>
    <row r="42" spans="1:16" ht="24">
      <c r="A42" s="12">
        <v>41</v>
      </c>
      <c r="B42" s="20" t="s">
        <v>876</v>
      </c>
      <c r="C42" s="5" t="s">
        <v>217</v>
      </c>
      <c r="D42" s="1" t="s">
        <v>87</v>
      </c>
      <c r="E42" s="13" t="s">
        <v>827</v>
      </c>
      <c r="F42" s="2" t="s">
        <v>20</v>
      </c>
      <c r="G42" s="12" t="s">
        <v>824</v>
      </c>
      <c r="H42" s="14" t="s">
        <v>823</v>
      </c>
      <c r="I42" s="3" t="s">
        <v>1031</v>
      </c>
      <c r="J42" s="16">
        <f>JG</f>
        <v>6.9640000000000004</v>
      </c>
      <c r="K42" s="13">
        <v>18</v>
      </c>
      <c r="L42" s="16">
        <f t="shared" si="0"/>
        <v>125.352</v>
      </c>
      <c r="M42" s="16">
        <v>105</v>
      </c>
      <c r="N42" s="18">
        <f t="shared" si="1"/>
        <v>13.161960000000001</v>
      </c>
      <c r="O42" s="16">
        <v>1.94</v>
      </c>
      <c r="P42" s="18">
        <f t="shared" si="2"/>
        <v>243.18288000000001</v>
      </c>
    </row>
    <row r="43" spans="1:16" ht="24">
      <c r="A43" s="12">
        <v>42</v>
      </c>
      <c r="B43" s="20" t="s">
        <v>209</v>
      </c>
      <c r="C43" s="5" t="s">
        <v>217</v>
      </c>
      <c r="D43" s="6" t="s">
        <v>909</v>
      </c>
      <c r="E43" s="14" t="s">
        <v>974</v>
      </c>
      <c r="F43" s="7" t="s">
        <v>1057</v>
      </c>
      <c r="G43" s="12" t="s">
        <v>969</v>
      </c>
      <c r="H43" s="14" t="s">
        <v>970</v>
      </c>
      <c r="I43" s="3">
        <v>1</v>
      </c>
      <c r="J43" s="16">
        <f>JG</f>
        <v>1</v>
      </c>
      <c r="K43" s="13">
        <v>18</v>
      </c>
      <c r="L43" s="16">
        <f t="shared" si="0"/>
        <v>18</v>
      </c>
      <c r="M43" s="16">
        <f>0.7*0.66*0.036*7850</f>
        <v>130.56119999999999</v>
      </c>
      <c r="N43" s="18">
        <f t="shared" si="1"/>
        <v>2.3501015999999999</v>
      </c>
      <c r="O43" s="16">
        <f>0.7*0.66</f>
        <v>0.46199999999999997</v>
      </c>
      <c r="P43" s="18">
        <f t="shared" si="2"/>
        <v>8.3159999999999989</v>
      </c>
    </row>
    <row r="44" spans="1:16" ht="24">
      <c r="A44" s="12">
        <v>43</v>
      </c>
      <c r="B44" s="20" t="s">
        <v>209</v>
      </c>
      <c r="C44" s="5" t="s">
        <v>217</v>
      </c>
      <c r="D44" s="6" t="s">
        <v>909</v>
      </c>
      <c r="E44" s="14" t="s">
        <v>974</v>
      </c>
      <c r="F44" s="7" t="s">
        <v>712</v>
      </c>
      <c r="G44" s="12" t="s">
        <v>969</v>
      </c>
      <c r="H44" s="14" t="s">
        <v>970</v>
      </c>
      <c r="I44" s="3">
        <v>2</v>
      </c>
      <c r="J44" s="16">
        <f>JG</f>
        <v>2</v>
      </c>
      <c r="K44" s="13">
        <v>18</v>
      </c>
      <c r="L44" s="16">
        <f t="shared" si="0"/>
        <v>36</v>
      </c>
      <c r="M44" s="16"/>
      <c r="N44" s="18">
        <f t="shared" si="1"/>
        <v>0</v>
      </c>
      <c r="O44" s="16"/>
      <c r="P44" s="18">
        <f t="shared" si="2"/>
        <v>0</v>
      </c>
    </row>
    <row r="45" spans="1:16" ht="24">
      <c r="A45" s="12">
        <v>44</v>
      </c>
      <c r="B45" s="20" t="s">
        <v>209</v>
      </c>
      <c r="C45" s="5" t="s">
        <v>217</v>
      </c>
      <c r="D45" s="6" t="s">
        <v>909</v>
      </c>
      <c r="E45" s="14" t="s">
        <v>974</v>
      </c>
      <c r="F45" s="7" t="s">
        <v>712</v>
      </c>
      <c r="G45" s="12" t="s">
        <v>969</v>
      </c>
      <c r="H45" s="14" t="s">
        <v>970</v>
      </c>
      <c r="I45" s="3">
        <v>4</v>
      </c>
      <c r="J45" s="16">
        <f>JG</f>
        <v>4</v>
      </c>
      <c r="K45" s="13">
        <v>18</v>
      </c>
      <c r="L45" s="16">
        <f t="shared" si="0"/>
        <v>72</v>
      </c>
      <c r="M45" s="16"/>
      <c r="N45" s="18">
        <f t="shared" si="1"/>
        <v>0</v>
      </c>
      <c r="O45" s="16"/>
      <c r="P45" s="18">
        <f t="shared" si="2"/>
        <v>0</v>
      </c>
    </row>
    <row r="46" spans="1:16" ht="24">
      <c r="A46" s="12">
        <v>45</v>
      </c>
      <c r="B46" s="20" t="s">
        <v>209</v>
      </c>
      <c r="C46" s="5" t="s">
        <v>217</v>
      </c>
      <c r="D46" s="6" t="s">
        <v>909</v>
      </c>
      <c r="E46" s="14" t="s">
        <v>974</v>
      </c>
      <c r="F46" s="7" t="s">
        <v>712</v>
      </c>
      <c r="G46" s="12" t="s">
        <v>969</v>
      </c>
      <c r="H46" s="14" t="s">
        <v>970</v>
      </c>
      <c r="I46" s="3">
        <v>8</v>
      </c>
      <c r="J46" s="16">
        <f>JG</f>
        <v>8</v>
      </c>
      <c r="K46" s="13">
        <v>18</v>
      </c>
      <c r="L46" s="16">
        <f t="shared" si="0"/>
        <v>144</v>
      </c>
      <c r="M46" s="16"/>
      <c r="N46" s="18">
        <f t="shared" si="1"/>
        <v>0</v>
      </c>
      <c r="O46" s="16"/>
      <c r="P46" s="18">
        <f t="shared" si="2"/>
        <v>0</v>
      </c>
    </row>
    <row r="47" spans="1:16" ht="24">
      <c r="A47" s="12">
        <v>46</v>
      </c>
      <c r="B47" s="20" t="s">
        <v>876</v>
      </c>
      <c r="C47" s="5" t="s">
        <v>220</v>
      </c>
      <c r="D47" s="1" t="s">
        <v>87</v>
      </c>
      <c r="E47" s="13" t="s">
        <v>827</v>
      </c>
      <c r="F47" s="2" t="s">
        <v>20</v>
      </c>
      <c r="G47" s="12" t="s">
        <v>824</v>
      </c>
      <c r="H47" s="14" t="s">
        <v>823</v>
      </c>
      <c r="I47" s="3" t="s">
        <v>1032</v>
      </c>
      <c r="J47" s="16">
        <f>JG</f>
        <v>6.9640000000000004</v>
      </c>
      <c r="K47" s="13">
        <v>20</v>
      </c>
      <c r="L47" s="16">
        <f t="shared" si="0"/>
        <v>139.28</v>
      </c>
      <c r="M47" s="16">
        <v>105</v>
      </c>
      <c r="N47" s="18">
        <f t="shared" si="1"/>
        <v>14.6244</v>
      </c>
      <c r="O47" s="16">
        <v>1.94</v>
      </c>
      <c r="P47" s="18">
        <f t="shared" si="2"/>
        <v>270.20319999999998</v>
      </c>
    </row>
    <row r="48" spans="1:16" ht="24">
      <c r="A48" s="12">
        <v>47</v>
      </c>
      <c r="B48" s="20" t="s">
        <v>209</v>
      </c>
      <c r="C48" s="5" t="s">
        <v>220</v>
      </c>
      <c r="D48" s="6" t="s">
        <v>909</v>
      </c>
      <c r="E48" s="14" t="s">
        <v>974</v>
      </c>
      <c r="F48" s="7" t="s">
        <v>1057</v>
      </c>
      <c r="G48" s="12" t="s">
        <v>969</v>
      </c>
      <c r="H48" s="14" t="s">
        <v>970</v>
      </c>
      <c r="I48" s="3">
        <v>1</v>
      </c>
      <c r="J48" s="16">
        <f>JG</f>
        <v>1</v>
      </c>
      <c r="K48" s="13">
        <v>20</v>
      </c>
      <c r="L48" s="16">
        <f t="shared" ref="L48:L51" si="14">J48*K48</f>
        <v>20</v>
      </c>
      <c r="M48" s="16">
        <f>0.7*0.66*0.036*7850</f>
        <v>130.56119999999999</v>
      </c>
      <c r="N48" s="18">
        <f t="shared" ref="N48:N51" si="15">L48*M48*0.001</f>
        <v>2.6112239999999995</v>
      </c>
      <c r="O48" s="16">
        <f>0.7*0.66</f>
        <v>0.46199999999999997</v>
      </c>
      <c r="P48" s="18">
        <f t="shared" ref="P48:P51" si="16">O48*L48</f>
        <v>9.2399999999999984</v>
      </c>
    </row>
    <row r="49" spans="1:16" ht="24">
      <c r="A49" s="12">
        <v>48</v>
      </c>
      <c r="B49" s="20" t="s">
        <v>209</v>
      </c>
      <c r="C49" s="5" t="s">
        <v>220</v>
      </c>
      <c r="D49" s="6" t="s">
        <v>909</v>
      </c>
      <c r="E49" s="14" t="s">
        <v>974</v>
      </c>
      <c r="F49" s="7" t="s">
        <v>712</v>
      </c>
      <c r="G49" s="12" t="s">
        <v>969</v>
      </c>
      <c r="H49" s="14" t="s">
        <v>970</v>
      </c>
      <c r="I49" s="3">
        <v>2</v>
      </c>
      <c r="J49" s="16">
        <f>JG</f>
        <v>2</v>
      </c>
      <c r="K49" s="13">
        <v>20</v>
      </c>
      <c r="L49" s="16">
        <f t="shared" si="14"/>
        <v>40</v>
      </c>
      <c r="M49" s="16"/>
      <c r="N49" s="18">
        <f t="shared" si="15"/>
        <v>0</v>
      </c>
      <c r="O49" s="16"/>
      <c r="P49" s="18">
        <f t="shared" si="16"/>
        <v>0</v>
      </c>
    </row>
    <row r="50" spans="1:16" ht="24">
      <c r="A50" s="12">
        <v>49</v>
      </c>
      <c r="B50" s="20" t="s">
        <v>209</v>
      </c>
      <c r="C50" s="5" t="s">
        <v>220</v>
      </c>
      <c r="D50" s="6" t="s">
        <v>909</v>
      </c>
      <c r="E50" s="14" t="s">
        <v>974</v>
      </c>
      <c r="F50" s="7" t="s">
        <v>712</v>
      </c>
      <c r="G50" s="12" t="s">
        <v>969</v>
      </c>
      <c r="H50" s="14" t="s">
        <v>970</v>
      </c>
      <c r="I50" s="3">
        <v>4</v>
      </c>
      <c r="J50" s="16">
        <f>JG</f>
        <v>4</v>
      </c>
      <c r="K50" s="13">
        <v>20</v>
      </c>
      <c r="L50" s="16">
        <f t="shared" si="14"/>
        <v>80</v>
      </c>
      <c r="M50" s="16"/>
      <c r="N50" s="18">
        <f t="shared" si="15"/>
        <v>0</v>
      </c>
      <c r="O50" s="16"/>
      <c r="P50" s="18">
        <f t="shared" si="16"/>
        <v>0</v>
      </c>
    </row>
    <row r="51" spans="1:16" ht="24">
      <c r="A51" s="12">
        <v>50</v>
      </c>
      <c r="B51" s="20" t="s">
        <v>209</v>
      </c>
      <c r="C51" s="5" t="s">
        <v>220</v>
      </c>
      <c r="D51" s="6" t="s">
        <v>909</v>
      </c>
      <c r="E51" s="14" t="s">
        <v>974</v>
      </c>
      <c r="F51" s="7" t="s">
        <v>712</v>
      </c>
      <c r="G51" s="12" t="s">
        <v>969</v>
      </c>
      <c r="H51" s="14" t="s">
        <v>970</v>
      </c>
      <c r="I51" s="3">
        <v>8</v>
      </c>
      <c r="J51" s="16">
        <f>JG</f>
        <v>8</v>
      </c>
      <c r="K51" s="13">
        <v>20</v>
      </c>
      <c r="L51" s="16">
        <f t="shared" si="14"/>
        <v>160</v>
      </c>
      <c r="M51" s="16"/>
      <c r="N51" s="18">
        <f t="shared" si="15"/>
        <v>0</v>
      </c>
      <c r="O51" s="16"/>
      <c r="P51" s="18">
        <f t="shared" si="16"/>
        <v>0</v>
      </c>
    </row>
    <row r="52" spans="1:16" ht="24">
      <c r="A52" s="12">
        <v>51</v>
      </c>
      <c r="B52" s="2" t="s">
        <v>271</v>
      </c>
      <c r="C52" s="2" t="s">
        <v>221</v>
      </c>
      <c r="D52" s="1" t="s">
        <v>222</v>
      </c>
      <c r="E52" s="13" t="s">
        <v>827</v>
      </c>
      <c r="F52" s="2" t="s">
        <v>223</v>
      </c>
      <c r="G52" s="12" t="s">
        <v>824</v>
      </c>
      <c r="H52" s="14" t="s">
        <v>823</v>
      </c>
      <c r="I52" s="3" t="s">
        <v>426</v>
      </c>
      <c r="J52" s="16">
        <f>JG</f>
        <v>4.6749999999999998</v>
      </c>
      <c r="K52" s="13">
        <v>5</v>
      </c>
      <c r="L52" s="16">
        <f t="shared" si="0"/>
        <v>23.375</v>
      </c>
      <c r="M52" s="16">
        <v>16.899999999999999</v>
      </c>
      <c r="N52" s="18">
        <f t="shared" si="1"/>
        <v>0.39503749999999999</v>
      </c>
      <c r="O52" s="16">
        <v>0.57399999999999995</v>
      </c>
      <c r="P52" s="18">
        <f t="shared" si="2"/>
        <v>13.417249999999999</v>
      </c>
    </row>
    <row r="53" spans="1:16" ht="24">
      <c r="A53" s="12">
        <v>52</v>
      </c>
      <c r="B53" s="2" t="s">
        <v>270</v>
      </c>
      <c r="C53" s="2" t="s">
        <v>268</v>
      </c>
      <c r="D53" s="1" t="s">
        <v>224</v>
      </c>
      <c r="E53" s="13" t="s">
        <v>827</v>
      </c>
      <c r="F53" s="2" t="s">
        <v>226</v>
      </c>
      <c r="G53" s="12" t="s">
        <v>824</v>
      </c>
      <c r="H53" s="14" t="s">
        <v>823</v>
      </c>
      <c r="I53" s="3" t="s">
        <v>225</v>
      </c>
      <c r="J53" s="16">
        <f>JG</f>
        <v>4.3499999999999996</v>
      </c>
      <c r="K53" s="13">
        <v>1</v>
      </c>
      <c r="L53" s="16">
        <f t="shared" si="0"/>
        <v>4.3499999999999996</v>
      </c>
      <c r="M53" s="16">
        <v>29.9</v>
      </c>
      <c r="N53" s="18">
        <f t="shared" si="1"/>
        <v>0.13006499999999996</v>
      </c>
      <c r="O53" s="16">
        <v>0.96199999999999997</v>
      </c>
      <c r="P53" s="18">
        <f t="shared" si="2"/>
        <v>4.1846999999999994</v>
      </c>
    </row>
    <row r="54" spans="1:16" ht="24">
      <c r="A54" s="12">
        <v>53</v>
      </c>
      <c r="B54" s="2" t="s">
        <v>270</v>
      </c>
      <c r="C54" s="2" t="s">
        <v>268</v>
      </c>
      <c r="D54" s="1" t="s">
        <v>99</v>
      </c>
      <c r="E54" s="13" t="s">
        <v>828</v>
      </c>
      <c r="F54" s="2" t="s">
        <v>227</v>
      </c>
      <c r="G54" s="12" t="s">
        <v>824</v>
      </c>
      <c r="H54" s="14" t="s">
        <v>823</v>
      </c>
      <c r="I54" s="3" t="s">
        <v>103</v>
      </c>
      <c r="J54" s="16">
        <f>JG</f>
        <v>4</v>
      </c>
      <c r="K54" s="13">
        <v>1</v>
      </c>
      <c r="L54" s="16">
        <f t="shared" si="0"/>
        <v>4</v>
      </c>
      <c r="M54" s="16">
        <f>0.072*0.176*0.006*7850</f>
        <v>0.59685119999999992</v>
      </c>
      <c r="N54" s="18">
        <f t="shared" si="1"/>
        <v>2.3874047999999995E-3</v>
      </c>
      <c r="O54" s="16">
        <f>0.072*2*0.176</f>
        <v>2.5343999999999995E-2</v>
      </c>
      <c r="P54" s="18">
        <f t="shared" si="2"/>
        <v>0.10137599999999998</v>
      </c>
    </row>
    <row r="55" spans="1:16" ht="24">
      <c r="A55" s="12">
        <v>54</v>
      </c>
      <c r="B55" s="2" t="s">
        <v>270</v>
      </c>
      <c r="C55" s="2" t="s">
        <v>268</v>
      </c>
      <c r="D55" s="1" t="s">
        <v>228</v>
      </c>
      <c r="E55" s="13" t="s">
        <v>827</v>
      </c>
      <c r="F55" s="2" t="s">
        <v>226</v>
      </c>
      <c r="G55" s="12" t="s">
        <v>824</v>
      </c>
      <c r="H55" s="14" t="s">
        <v>823</v>
      </c>
      <c r="I55" s="3" t="s">
        <v>229</v>
      </c>
      <c r="J55" s="16">
        <f>JG</f>
        <v>0.85</v>
      </c>
      <c r="K55" s="13">
        <v>1</v>
      </c>
      <c r="L55" s="16">
        <f t="shared" si="0"/>
        <v>0.85</v>
      </c>
      <c r="M55" s="16">
        <v>29.9</v>
      </c>
      <c r="N55" s="18">
        <f t="shared" si="1"/>
        <v>2.5415E-2</v>
      </c>
      <c r="O55" s="16">
        <v>0.96199999999999997</v>
      </c>
      <c r="P55" s="18">
        <f t="shared" si="2"/>
        <v>0.81769999999999998</v>
      </c>
    </row>
    <row r="56" spans="1:16" ht="24">
      <c r="A56" s="12">
        <v>55</v>
      </c>
      <c r="B56" s="2" t="s">
        <v>270</v>
      </c>
      <c r="C56" s="2" t="s">
        <v>268</v>
      </c>
      <c r="D56" s="1" t="s">
        <v>99</v>
      </c>
      <c r="E56" s="13" t="s">
        <v>828</v>
      </c>
      <c r="F56" s="2" t="s">
        <v>230</v>
      </c>
      <c r="G56" s="12" t="s">
        <v>824</v>
      </c>
      <c r="H56" s="14" t="s">
        <v>823</v>
      </c>
      <c r="I56" s="3">
        <v>1</v>
      </c>
      <c r="J56" s="16">
        <f>JG</f>
        <v>1</v>
      </c>
      <c r="K56" s="13">
        <v>1</v>
      </c>
      <c r="L56" s="16">
        <f t="shared" si="0"/>
        <v>1</v>
      </c>
      <c r="M56" s="16">
        <f>0.145*0.358*0.006*7850</f>
        <v>2.4449609999999997</v>
      </c>
      <c r="N56" s="18">
        <f t="shared" si="1"/>
        <v>2.4449609999999998E-3</v>
      </c>
      <c r="O56" s="16">
        <f>0.145*2*0.358</f>
        <v>0.10381999999999998</v>
      </c>
      <c r="P56" s="18">
        <f t="shared" si="2"/>
        <v>0.10381999999999998</v>
      </c>
    </row>
    <row r="57" spans="1:16" ht="24">
      <c r="A57" s="12">
        <v>56</v>
      </c>
      <c r="B57" s="2" t="s">
        <v>270</v>
      </c>
      <c r="C57" s="2" t="s">
        <v>268</v>
      </c>
      <c r="D57" s="1" t="s">
        <v>228</v>
      </c>
      <c r="E57" s="13" t="s">
        <v>827</v>
      </c>
      <c r="F57" s="2" t="s">
        <v>226</v>
      </c>
      <c r="G57" s="12" t="s">
        <v>824</v>
      </c>
      <c r="H57" s="14" t="s">
        <v>823</v>
      </c>
      <c r="I57" s="3" t="s">
        <v>229</v>
      </c>
      <c r="J57" s="16">
        <f>JG</f>
        <v>0.85</v>
      </c>
      <c r="K57" s="13">
        <v>1</v>
      </c>
      <c r="L57" s="16">
        <f t="shared" si="0"/>
        <v>0.85</v>
      </c>
      <c r="M57" s="16">
        <v>29.9</v>
      </c>
      <c r="N57" s="18">
        <f t="shared" si="1"/>
        <v>2.5415E-2</v>
      </c>
      <c r="O57" s="16">
        <v>0.96199999999999997</v>
      </c>
      <c r="P57" s="18">
        <f t="shared" si="2"/>
        <v>0.81769999999999998</v>
      </c>
    </row>
    <row r="58" spans="1:16" ht="24">
      <c r="A58" s="12">
        <v>57</v>
      </c>
      <c r="B58" s="2" t="s">
        <v>270</v>
      </c>
      <c r="C58" s="2" t="s">
        <v>268</v>
      </c>
      <c r="D58" s="1" t="s">
        <v>231</v>
      </c>
      <c r="E58" s="13" t="s">
        <v>827</v>
      </c>
      <c r="F58" s="2" t="s">
        <v>89</v>
      </c>
      <c r="G58" s="12" t="s">
        <v>824</v>
      </c>
      <c r="H58" s="14" t="s">
        <v>823</v>
      </c>
      <c r="I58" s="3">
        <v>5.3</v>
      </c>
      <c r="J58" s="16">
        <f>JG</f>
        <v>5.3</v>
      </c>
      <c r="K58" s="13">
        <v>2</v>
      </c>
      <c r="L58" s="16">
        <f t="shared" si="0"/>
        <v>10.6</v>
      </c>
      <c r="M58" s="16">
        <v>55.8</v>
      </c>
      <c r="N58" s="18">
        <f t="shared" si="1"/>
        <v>0.59147999999999989</v>
      </c>
      <c r="O58" s="16">
        <v>1.35</v>
      </c>
      <c r="P58" s="18">
        <f t="shared" si="2"/>
        <v>14.31</v>
      </c>
    </row>
    <row r="59" spans="1:16" ht="24">
      <c r="A59" s="12">
        <v>58</v>
      </c>
      <c r="B59" s="2" t="s">
        <v>270</v>
      </c>
      <c r="C59" s="2" t="s">
        <v>268</v>
      </c>
      <c r="D59" s="1" t="s">
        <v>232</v>
      </c>
      <c r="E59" s="13" t="s">
        <v>827</v>
      </c>
      <c r="F59" s="2" t="s">
        <v>28</v>
      </c>
      <c r="G59" s="12" t="s">
        <v>824</v>
      </c>
      <c r="H59" s="14" t="s">
        <v>823</v>
      </c>
      <c r="I59" s="3">
        <v>9</v>
      </c>
      <c r="J59" s="16">
        <f>JG</f>
        <v>9</v>
      </c>
      <c r="K59" s="13">
        <v>8</v>
      </c>
      <c r="L59" s="16">
        <f t="shared" si="0"/>
        <v>72</v>
      </c>
      <c r="M59" s="16">
        <v>78.099999999999994</v>
      </c>
      <c r="N59" s="18">
        <f t="shared" si="1"/>
        <v>5.6231999999999998</v>
      </c>
      <c r="O59" s="16">
        <v>1.64</v>
      </c>
      <c r="P59" s="18">
        <f t="shared" si="2"/>
        <v>118.08</v>
      </c>
    </row>
    <row r="60" spans="1:16" ht="24">
      <c r="A60" s="12">
        <v>59</v>
      </c>
      <c r="B60" s="2" t="s">
        <v>270</v>
      </c>
      <c r="C60" s="2" t="s">
        <v>268</v>
      </c>
      <c r="D60" s="1" t="s">
        <v>24</v>
      </c>
      <c r="E60" s="13" t="s">
        <v>827</v>
      </c>
      <c r="F60" s="2" t="s">
        <v>28</v>
      </c>
      <c r="G60" s="12" t="s">
        <v>824</v>
      </c>
      <c r="H60" s="14" t="s">
        <v>823</v>
      </c>
      <c r="I60" s="3" t="s">
        <v>366</v>
      </c>
      <c r="J60" s="16">
        <f>JG</f>
        <v>53.85</v>
      </c>
      <c r="K60" s="13">
        <v>1</v>
      </c>
      <c r="L60" s="16">
        <f t="shared" si="0"/>
        <v>53.85</v>
      </c>
      <c r="M60" s="16">
        <v>78.099999999999994</v>
      </c>
      <c r="N60" s="18">
        <f t="shared" si="1"/>
        <v>4.2056849999999999</v>
      </c>
      <c r="O60" s="16">
        <v>1.64</v>
      </c>
      <c r="P60" s="18">
        <f t="shared" si="2"/>
        <v>88.313999999999993</v>
      </c>
    </row>
    <row r="61" spans="1:16" ht="24">
      <c r="A61" s="12">
        <v>60</v>
      </c>
      <c r="B61" s="2" t="s">
        <v>270</v>
      </c>
      <c r="C61" s="2" t="s">
        <v>268</v>
      </c>
      <c r="D61" s="1" t="s">
        <v>234</v>
      </c>
      <c r="E61" s="13" t="s">
        <v>827</v>
      </c>
      <c r="F61" s="2" t="s">
        <v>235</v>
      </c>
      <c r="G61" s="12" t="s">
        <v>824</v>
      </c>
      <c r="H61" s="14" t="s">
        <v>823</v>
      </c>
      <c r="I61" s="3">
        <v>9</v>
      </c>
      <c r="J61" s="16">
        <f>JG</f>
        <v>9</v>
      </c>
      <c r="K61" s="13">
        <v>2</v>
      </c>
      <c r="L61" s="16">
        <f t="shared" si="0"/>
        <v>18</v>
      </c>
      <c r="M61" s="16">
        <v>105</v>
      </c>
      <c r="N61" s="18">
        <f t="shared" si="1"/>
        <v>1.8900000000000001</v>
      </c>
      <c r="O61" s="16">
        <v>1.94</v>
      </c>
      <c r="P61" s="18">
        <f t="shared" si="2"/>
        <v>34.92</v>
      </c>
    </row>
    <row r="62" spans="1:16" ht="24">
      <c r="A62" s="12">
        <v>61</v>
      </c>
      <c r="B62" s="2" t="s">
        <v>270</v>
      </c>
      <c r="C62" s="2" t="s">
        <v>268</v>
      </c>
      <c r="D62" s="1" t="s">
        <v>236</v>
      </c>
      <c r="E62" s="13" t="s">
        <v>827</v>
      </c>
      <c r="F62" s="2" t="s">
        <v>237</v>
      </c>
      <c r="G62" s="12" t="s">
        <v>824</v>
      </c>
      <c r="H62" s="14" t="s">
        <v>823</v>
      </c>
      <c r="I62" s="3" t="s">
        <v>238</v>
      </c>
      <c r="J62" s="16">
        <f>JG</f>
        <v>0.77500000000000002</v>
      </c>
      <c r="K62" s="13">
        <v>2</v>
      </c>
      <c r="L62" s="16">
        <f t="shared" si="0"/>
        <v>1.55</v>
      </c>
      <c r="M62" s="16">
        <v>14</v>
      </c>
      <c r="N62" s="18">
        <f t="shared" si="1"/>
        <v>2.1700000000000001E-2</v>
      </c>
      <c r="O62" s="16">
        <v>0.57599999999999996</v>
      </c>
      <c r="P62" s="18">
        <f t="shared" si="2"/>
        <v>0.89279999999999993</v>
      </c>
    </row>
    <row r="63" spans="1:16" ht="24">
      <c r="A63" s="12">
        <v>62</v>
      </c>
      <c r="B63" s="2" t="s">
        <v>270</v>
      </c>
      <c r="C63" s="2" t="s">
        <v>268</v>
      </c>
      <c r="D63" s="1" t="s">
        <v>99</v>
      </c>
      <c r="E63" s="13" t="s">
        <v>828</v>
      </c>
      <c r="F63" s="2" t="s">
        <v>239</v>
      </c>
      <c r="G63" s="12" t="s">
        <v>824</v>
      </c>
      <c r="H63" s="14" t="s">
        <v>823</v>
      </c>
      <c r="I63" s="3" t="s">
        <v>240</v>
      </c>
      <c r="J63" s="16">
        <f>JG</f>
        <v>4</v>
      </c>
      <c r="K63" s="13">
        <v>1</v>
      </c>
      <c r="L63" s="16">
        <f t="shared" si="0"/>
        <v>4</v>
      </c>
      <c r="M63" s="16">
        <f>0.072*0.176*0.005*7850</f>
        <v>0.49737599999999993</v>
      </c>
      <c r="N63" s="18">
        <f t="shared" si="1"/>
        <v>1.9895039999999996E-3</v>
      </c>
      <c r="O63" s="16">
        <f>0.072*2*0.176</f>
        <v>2.5343999999999995E-2</v>
      </c>
      <c r="P63" s="18">
        <f t="shared" si="2"/>
        <v>0.10137599999999998</v>
      </c>
    </row>
    <row r="64" spans="1:16" ht="24">
      <c r="A64" s="12">
        <v>63</v>
      </c>
      <c r="B64" s="2" t="s">
        <v>270</v>
      </c>
      <c r="C64" s="2" t="s">
        <v>268</v>
      </c>
      <c r="D64" s="1" t="s">
        <v>99</v>
      </c>
      <c r="E64" s="13" t="s">
        <v>828</v>
      </c>
      <c r="F64" s="2" t="s">
        <v>241</v>
      </c>
      <c r="G64" s="12" t="s">
        <v>824</v>
      </c>
      <c r="H64" s="14" t="s">
        <v>823</v>
      </c>
      <c r="I64" s="3" t="s">
        <v>240</v>
      </c>
      <c r="J64" s="16">
        <f>JG</f>
        <v>4</v>
      </c>
      <c r="K64" s="13">
        <v>1</v>
      </c>
      <c r="L64" s="16">
        <f t="shared" si="0"/>
        <v>4</v>
      </c>
      <c r="M64" s="16">
        <f>0.145*0.358*0.005*7850</f>
        <v>2.0374674999999995</v>
      </c>
      <c r="N64" s="18">
        <f t="shared" si="1"/>
        <v>8.1498699999999983E-3</v>
      </c>
      <c r="O64" s="16">
        <f>0.145*2*0.358</f>
        <v>0.10381999999999998</v>
      </c>
      <c r="P64" s="18">
        <f t="shared" si="2"/>
        <v>0.41527999999999993</v>
      </c>
    </row>
    <row r="65" spans="1:16" ht="24">
      <c r="A65" s="12">
        <v>64</v>
      </c>
      <c r="B65" s="2" t="s">
        <v>270</v>
      </c>
      <c r="C65" s="2" t="s">
        <v>268</v>
      </c>
      <c r="D65" s="1" t="s">
        <v>242</v>
      </c>
      <c r="E65" s="13" t="s">
        <v>827</v>
      </c>
      <c r="F65" s="2" t="s">
        <v>237</v>
      </c>
      <c r="G65" s="12" t="s">
        <v>824</v>
      </c>
      <c r="H65" s="14" t="s">
        <v>823</v>
      </c>
      <c r="I65" s="3" t="s">
        <v>243</v>
      </c>
      <c r="J65" s="16">
        <f>JG</f>
        <v>64.174999999999997</v>
      </c>
      <c r="K65" s="13">
        <v>1</v>
      </c>
      <c r="L65" s="16">
        <f t="shared" si="0"/>
        <v>64.174999999999997</v>
      </c>
      <c r="M65" s="16">
        <v>14</v>
      </c>
      <c r="N65" s="18">
        <f t="shared" si="1"/>
        <v>0.89844999999999997</v>
      </c>
      <c r="O65" s="16">
        <v>0.57599999999999996</v>
      </c>
      <c r="P65" s="18">
        <f t="shared" si="2"/>
        <v>36.964799999999997</v>
      </c>
    </row>
    <row r="66" spans="1:16" ht="24">
      <c r="A66" s="12">
        <v>65</v>
      </c>
      <c r="B66" s="2" t="s">
        <v>270</v>
      </c>
      <c r="C66" s="2" t="s">
        <v>268</v>
      </c>
      <c r="D66" s="1" t="s">
        <v>99</v>
      </c>
      <c r="E66" s="13" t="s">
        <v>828</v>
      </c>
      <c r="F66" s="2" t="s">
        <v>244</v>
      </c>
      <c r="G66" s="12" t="s">
        <v>824</v>
      </c>
      <c r="H66" s="14" t="s">
        <v>823</v>
      </c>
      <c r="I66" s="3" t="s">
        <v>287</v>
      </c>
      <c r="J66" s="16">
        <f>JG</f>
        <v>15</v>
      </c>
      <c r="K66" s="13">
        <v>1</v>
      </c>
      <c r="L66" s="16">
        <f t="shared" si="0"/>
        <v>15</v>
      </c>
      <c r="M66" s="16">
        <f>0.12*0.312*0.005*7850</f>
        <v>1.4695199999999999</v>
      </c>
      <c r="N66" s="18">
        <f t="shared" si="1"/>
        <v>2.2042800000000001E-2</v>
      </c>
      <c r="O66" s="16">
        <f>0.12*2*0.312</f>
        <v>7.4880000000000002E-2</v>
      </c>
      <c r="P66" s="18">
        <f t="shared" si="2"/>
        <v>1.1232</v>
      </c>
    </row>
    <row r="67" spans="1:16" ht="24">
      <c r="A67" s="12">
        <v>66</v>
      </c>
      <c r="B67" s="2" t="s">
        <v>270</v>
      </c>
      <c r="C67" s="2" t="s">
        <v>268</v>
      </c>
      <c r="D67" s="1" t="s">
        <v>99</v>
      </c>
      <c r="E67" s="13" t="s">
        <v>828</v>
      </c>
      <c r="F67" s="2" t="s">
        <v>245</v>
      </c>
      <c r="G67" s="12" t="s">
        <v>824</v>
      </c>
      <c r="H67" s="14" t="s">
        <v>823</v>
      </c>
      <c r="I67" s="3" t="s">
        <v>246</v>
      </c>
      <c r="J67" s="16">
        <f>JG</f>
        <v>30</v>
      </c>
      <c r="K67" s="13">
        <v>1</v>
      </c>
      <c r="L67" s="16">
        <f t="shared" si="0"/>
        <v>30</v>
      </c>
      <c r="M67" s="16">
        <f>0.071*0.282*0.005*7850</f>
        <v>0.78586349999999983</v>
      </c>
      <c r="N67" s="18">
        <f t="shared" si="1"/>
        <v>2.3575904999999994E-2</v>
      </c>
      <c r="O67" s="16">
        <f>0.071*2*0.282</f>
        <v>4.0043999999999989E-2</v>
      </c>
      <c r="P67" s="18">
        <f t="shared" si="2"/>
        <v>1.2013199999999997</v>
      </c>
    </row>
    <row r="68" spans="1:16" ht="24">
      <c r="A68" s="12">
        <v>67</v>
      </c>
      <c r="B68" s="2" t="s">
        <v>270</v>
      </c>
      <c r="C68" s="2" t="s">
        <v>268</v>
      </c>
      <c r="D68" s="1" t="s">
        <v>99</v>
      </c>
      <c r="E68" s="13" t="s">
        <v>828</v>
      </c>
      <c r="F68" s="2" t="s">
        <v>247</v>
      </c>
      <c r="G68" s="12" t="s">
        <v>824</v>
      </c>
      <c r="H68" s="14" t="s">
        <v>823</v>
      </c>
      <c r="I68" s="3" t="s">
        <v>248</v>
      </c>
      <c r="J68" s="16">
        <f>JG</f>
        <v>6</v>
      </c>
      <c r="K68" s="13">
        <v>1</v>
      </c>
      <c r="L68" s="16">
        <f t="shared" ref="L68:L99" si="17">J68*K68</f>
        <v>6</v>
      </c>
      <c r="M68" s="16">
        <f>0.084*0.328*0.005*7850</f>
        <v>1.0814160000000002</v>
      </c>
      <c r="N68" s="18">
        <f t="shared" ref="N68:N99" si="18">L68*M68*0.001</f>
        <v>6.4884960000000016E-3</v>
      </c>
      <c r="O68" s="16">
        <f>0.084*2*0.328</f>
        <v>5.5104000000000007E-2</v>
      </c>
      <c r="P68" s="18">
        <f t="shared" ref="P68:P99" si="19">O68*L68</f>
        <v>0.33062400000000003</v>
      </c>
    </row>
    <row r="69" spans="1:16" ht="24">
      <c r="A69" s="12">
        <v>68</v>
      </c>
      <c r="B69" s="2" t="s">
        <v>270</v>
      </c>
      <c r="C69" s="2" t="s">
        <v>268</v>
      </c>
      <c r="D69" s="1" t="s">
        <v>249</v>
      </c>
      <c r="E69" s="13" t="s">
        <v>827</v>
      </c>
      <c r="F69" s="2" t="s">
        <v>251</v>
      </c>
      <c r="G69" s="12" t="s">
        <v>824</v>
      </c>
      <c r="H69" s="14" t="s">
        <v>823</v>
      </c>
      <c r="I69" s="3" t="s">
        <v>180</v>
      </c>
      <c r="J69" s="16">
        <f>JG</f>
        <v>6.8</v>
      </c>
      <c r="K69" s="13">
        <v>1</v>
      </c>
      <c r="L69" s="16">
        <f t="shared" si="17"/>
        <v>6.8</v>
      </c>
      <c r="M69" s="16">
        <v>36.700000000000003</v>
      </c>
      <c r="N69" s="18">
        <f t="shared" si="18"/>
        <v>0.24956</v>
      </c>
      <c r="O69" s="16">
        <v>1.1599999999999999</v>
      </c>
      <c r="P69" s="18">
        <f t="shared" si="19"/>
        <v>7.887999999999999</v>
      </c>
    </row>
    <row r="70" spans="1:16" ht="24">
      <c r="A70" s="12">
        <v>69</v>
      </c>
      <c r="B70" s="2" t="s">
        <v>270</v>
      </c>
      <c r="C70" s="2" t="s">
        <v>268</v>
      </c>
      <c r="D70" s="1" t="s">
        <v>99</v>
      </c>
      <c r="E70" s="13" t="s">
        <v>828</v>
      </c>
      <c r="F70" s="2" t="s">
        <v>254</v>
      </c>
      <c r="G70" s="12" t="s">
        <v>824</v>
      </c>
      <c r="H70" s="14" t="s">
        <v>823</v>
      </c>
      <c r="I70" s="3" t="s">
        <v>103</v>
      </c>
      <c r="J70" s="16">
        <f>JG</f>
        <v>4</v>
      </c>
      <c r="K70" s="13">
        <v>1</v>
      </c>
      <c r="L70" s="16">
        <f t="shared" si="17"/>
        <v>4</v>
      </c>
      <c r="M70" s="16">
        <f>0.096*0.27*0.0065*7850</f>
        <v>1.3225680000000002</v>
      </c>
      <c r="N70" s="18">
        <f t="shared" si="18"/>
        <v>5.2902720000000012E-3</v>
      </c>
      <c r="O70" s="16">
        <f>0.096*2*0.27</f>
        <v>5.1840000000000004E-2</v>
      </c>
      <c r="P70" s="18">
        <f t="shared" si="19"/>
        <v>0.20736000000000002</v>
      </c>
    </row>
    <row r="71" spans="1:16" ht="24">
      <c r="A71" s="12">
        <v>70</v>
      </c>
      <c r="B71" s="2" t="s">
        <v>270</v>
      </c>
      <c r="C71" s="2" t="s">
        <v>268</v>
      </c>
      <c r="D71" s="1" t="s">
        <v>250</v>
      </c>
      <c r="E71" s="13" t="s">
        <v>827</v>
      </c>
      <c r="F71" s="2" t="s">
        <v>252</v>
      </c>
      <c r="G71" s="12" t="s">
        <v>824</v>
      </c>
      <c r="H71" s="14" t="s">
        <v>823</v>
      </c>
      <c r="I71" s="3" t="s">
        <v>253</v>
      </c>
      <c r="J71" s="16">
        <f>JG</f>
        <v>6.75</v>
      </c>
      <c r="K71" s="13">
        <v>9</v>
      </c>
      <c r="L71" s="16">
        <f t="shared" si="17"/>
        <v>60.75</v>
      </c>
      <c r="M71" s="16">
        <v>36.700000000000003</v>
      </c>
      <c r="N71" s="18">
        <f t="shared" si="18"/>
        <v>2.2295250000000002</v>
      </c>
      <c r="O71" s="16">
        <v>1.1599999999999999</v>
      </c>
      <c r="P71" s="18">
        <f t="shared" si="19"/>
        <v>70.47</v>
      </c>
    </row>
    <row r="72" spans="1:16" ht="24">
      <c r="A72" s="12">
        <v>71</v>
      </c>
      <c r="B72" s="2" t="s">
        <v>270</v>
      </c>
      <c r="C72" s="2" t="s">
        <v>268</v>
      </c>
      <c r="D72" s="1" t="s">
        <v>99</v>
      </c>
      <c r="E72" s="13" t="s">
        <v>828</v>
      </c>
      <c r="F72" s="2" t="s">
        <v>255</v>
      </c>
      <c r="G72" s="12" t="s">
        <v>824</v>
      </c>
      <c r="H72" s="14" t="s">
        <v>823</v>
      </c>
      <c r="I72" s="3" t="s">
        <v>256</v>
      </c>
      <c r="J72" s="16">
        <f>JG</f>
        <v>36</v>
      </c>
      <c r="K72" s="13">
        <v>1</v>
      </c>
      <c r="L72" s="16">
        <f t="shared" si="17"/>
        <v>36</v>
      </c>
      <c r="M72" s="16">
        <f>0.12*0.312*0.0065*7850</f>
        <v>1.9103760000000001</v>
      </c>
      <c r="N72" s="18">
        <f t="shared" si="18"/>
        <v>6.877353600000001E-2</v>
      </c>
      <c r="O72" s="16">
        <f>0.12*2*0.312</f>
        <v>7.4880000000000002E-2</v>
      </c>
      <c r="P72" s="18">
        <f t="shared" si="19"/>
        <v>2.6956800000000003</v>
      </c>
    </row>
    <row r="73" spans="1:16" ht="24">
      <c r="A73" s="12">
        <v>72</v>
      </c>
      <c r="B73" s="2" t="s">
        <v>270</v>
      </c>
      <c r="C73" s="2" t="s">
        <v>268</v>
      </c>
      <c r="D73" s="1" t="s">
        <v>250</v>
      </c>
      <c r="E73" s="13" t="s">
        <v>827</v>
      </c>
      <c r="F73" s="2" t="s">
        <v>252</v>
      </c>
      <c r="G73" s="12" t="s">
        <v>824</v>
      </c>
      <c r="H73" s="14" t="s">
        <v>823</v>
      </c>
      <c r="I73" s="3" t="s">
        <v>257</v>
      </c>
      <c r="J73" s="16">
        <f>JG</f>
        <v>6.8</v>
      </c>
      <c r="K73" s="13">
        <v>5</v>
      </c>
      <c r="L73" s="16">
        <f t="shared" si="17"/>
        <v>34</v>
      </c>
      <c r="M73" s="16">
        <v>36.700000000000003</v>
      </c>
      <c r="N73" s="18">
        <f t="shared" si="18"/>
        <v>1.2478000000000002</v>
      </c>
      <c r="O73" s="16">
        <v>1.1599999999999999</v>
      </c>
      <c r="P73" s="18">
        <f t="shared" si="19"/>
        <v>39.44</v>
      </c>
    </row>
    <row r="74" spans="1:16" ht="24">
      <c r="A74" s="12">
        <v>73</v>
      </c>
      <c r="B74" s="2" t="s">
        <v>270</v>
      </c>
      <c r="C74" s="2" t="s">
        <v>268</v>
      </c>
      <c r="D74" s="1" t="s">
        <v>99</v>
      </c>
      <c r="E74" s="13" t="s">
        <v>828</v>
      </c>
      <c r="F74" s="2" t="s">
        <v>258</v>
      </c>
      <c r="G74" s="12" t="s">
        <v>824</v>
      </c>
      <c r="H74" s="14" t="s">
        <v>823</v>
      </c>
      <c r="I74" s="3" t="s">
        <v>259</v>
      </c>
      <c r="J74" s="16">
        <f>JG</f>
        <v>20</v>
      </c>
      <c r="K74" s="13">
        <v>1</v>
      </c>
      <c r="L74" s="16">
        <f t="shared" si="17"/>
        <v>20</v>
      </c>
      <c r="M74" s="16">
        <f>0.096*0.374*0.0065*7850</f>
        <v>1.8320015999999999</v>
      </c>
      <c r="N74" s="18">
        <f t="shared" si="18"/>
        <v>3.6640031999999996E-2</v>
      </c>
      <c r="O74" s="16">
        <f>0.096*2*0.374</f>
        <v>7.1807999999999997E-2</v>
      </c>
      <c r="P74" s="18">
        <f t="shared" si="19"/>
        <v>1.4361599999999999</v>
      </c>
    </row>
    <row r="75" spans="1:16" ht="24">
      <c r="A75" s="12">
        <v>74</v>
      </c>
      <c r="B75" s="2" t="s">
        <v>270</v>
      </c>
      <c r="C75" s="2" t="s">
        <v>268</v>
      </c>
      <c r="D75" s="1" t="s">
        <v>260</v>
      </c>
      <c r="E75" s="13" t="s">
        <v>827</v>
      </c>
      <c r="F75" s="2" t="s">
        <v>261</v>
      </c>
      <c r="G75" s="12" t="s">
        <v>824</v>
      </c>
      <c r="H75" s="14" t="s">
        <v>823</v>
      </c>
      <c r="I75" s="3" t="s">
        <v>233</v>
      </c>
      <c r="J75" s="16">
        <f>JG</f>
        <v>6.7</v>
      </c>
      <c r="K75" s="13">
        <v>3</v>
      </c>
      <c r="L75" s="16">
        <f t="shared" si="17"/>
        <v>20.100000000000001</v>
      </c>
      <c r="M75" s="16">
        <v>49.4</v>
      </c>
      <c r="N75" s="18">
        <f t="shared" si="18"/>
        <v>0.99294000000000004</v>
      </c>
      <c r="O75" s="16">
        <v>1.36</v>
      </c>
      <c r="P75" s="18">
        <f t="shared" si="19"/>
        <v>27.336000000000006</v>
      </c>
    </row>
    <row r="76" spans="1:16" ht="24">
      <c r="A76" s="12">
        <v>75</v>
      </c>
      <c r="B76" s="2" t="s">
        <v>270</v>
      </c>
      <c r="C76" s="2" t="s">
        <v>268</v>
      </c>
      <c r="D76" s="1" t="s">
        <v>262</v>
      </c>
      <c r="E76" s="13" t="s">
        <v>828</v>
      </c>
      <c r="F76" s="2" t="s">
        <v>263</v>
      </c>
      <c r="G76" s="12" t="s">
        <v>824</v>
      </c>
      <c r="H76" s="14" t="s">
        <v>823</v>
      </c>
      <c r="I76" s="3" t="s">
        <v>134</v>
      </c>
      <c r="J76" s="16">
        <f>JG</f>
        <v>12</v>
      </c>
      <c r="K76" s="13">
        <v>1</v>
      </c>
      <c r="L76" s="16">
        <f t="shared" si="17"/>
        <v>12</v>
      </c>
      <c r="M76" s="16">
        <f>0.145*0.358*0.007*7850</f>
        <v>2.8524544999999999</v>
      </c>
      <c r="N76" s="18">
        <f t="shared" si="18"/>
        <v>3.4229453999999999E-2</v>
      </c>
      <c r="O76" s="16">
        <f>0.145*2*0.358</f>
        <v>0.10381999999999998</v>
      </c>
      <c r="P76" s="18">
        <f t="shared" si="19"/>
        <v>1.2458399999999998</v>
      </c>
    </row>
    <row r="77" spans="1:16" ht="24">
      <c r="A77" s="12">
        <v>76</v>
      </c>
      <c r="B77" s="2" t="s">
        <v>270</v>
      </c>
      <c r="C77" s="2" t="s">
        <v>268</v>
      </c>
      <c r="D77" s="1" t="s">
        <v>346</v>
      </c>
      <c r="E77" s="13" t="s">
        <v>827</v>
      </c>
      <c r="F77" s="2" t="s">
        <v>347</v>
      </c>
      <c r="G77" s="12" t="s">
        <v>824</v>
      </c>
      <c r="H77" s="14" t="s">
        <v>823</v>
      </c>
      <c r="I77" s="3">
        <v>18.149999999999999</v>
      </c>
      <c r="J77" s="16">
        <f>JG</f>
        <v>18.149999999999999</v>
      </c>
      <c r="K77" s="13">
        <v>2</v>
      </c>
      <c r="L77" s="16">
        <f t="shared" si="17"/>
        <v>36.299999999999997</v>
      </c>
      <c r="M77" s="16">
        <v>65.400000000000006</v>
      </c>
      <c r="N77" s="18">
        <f t="shared" si="18"/>
        <v>2.3740200000000002</v>
      </c>
      <c r="O77" s="16">
        <v>1.56</v>
      </c>
      <c r="P77" s="18">
        <f t="shared" si="19"/>
        <v>56.628</v>
      </c>
    </row>
    <row r="78" spans="1:16" ht="24">
      <c r="A78" s="12">
        <v>77</v>
      </c>
      <c r="B78" s="2" t="s">
        <v>270</v>
      </c>
      <c r="C78" s="2" t="s">
        <v>268</v>
      </c>
      <c r="D78" s="1" t="s">
        <v>76</v>
      </c>
      <c r="E78" s="13" t="s">
        <v>830</v>
      </c>
      <c r="F78" s="2" t="s">
        <v>106</v>
      </c>
      <c r="G78" s="12" t="s">
        <v>824</v>
      </c>
      <c r="H78" s="14" t="s">
        <v>823</v>
      </c>
      <c r="I78" s="3" t="s">
        <v>264</v>
      </c>
      <c r="J78" s="16">
        <f>JG</f>
        <v>4.1880783182743846</v>
      </c>
      <c r="K78" s="13">
        <v>4</v>
      </c>
      <c r="L78" s="16">
        <f t="shared" si="17"/>
        <v>16.752313273097538</v>
      </c>
      <c r="M78" s="16">
        <v>14.5</v>
      </c>
      <c r="N78" s="18">
        <f t="shared" si="18"/>
        <v>0.24290854245991433</v>
      </c>
      <c r="O78" s="16">
        <v>0.49299999999999999</v>
      </c>
      <c r="P78" s="18">
        <f t="shared" si="19"/>
        <v>8.2588904436370871</v>
      </c>
    </row>
    <row r="79" spans="1:16" ht="24">
      <c r="A79" s="12">
        <v>78</v>
      </c>
      <c r="B79" s="2" t="s">
        <v>270</v>
      </c>
      <c r="C79" s="2" t="s">
        <v>268</v>
      </c>
      <c r="D79" s="1" t="s">
        <v>76</v>
      </c>
      <c r="E79" s="13" t="s">
        <v>830</v>
      </c>
      <c r="F79" s="2" t="s">
        <v>106</v>
      </c>
      <c r="G79" s="12" t="s">
        <v>824</v>
      </c>
      <c r="H79" s="14" t="s">
        <v>823</v>
      </c>
      <c r="I79" s="3" t="s">
        <v>265</v>
      </c>
      <c r="J79" s="16">
        <f>JG</f>
        <v>4.1340053217188775</v>
      </c>
      <c r="K79" s="13">
        <v>4</v>
      </c>
      <c r="L79" s="16">
        <f t="shared" si="17"/>
        <v>16.53602128687551</v>
      </c>
      <c r="M79" s="16">
        <v>14.5</v>
      </c>
      <c r="N79" s="18">
        <f t="shared" si="18"/>
        <v>0.2397723086596949</v>
      </c>
      <c r="O79" s="16">
        <v>0.49299999999999999</v>
      </c>
      <c r="P79" s="18">
        <f t="shared" si="19"/>
        <v>8.1522584944296259</v>
      </c>
    </row>
    <row r="80" spans="1:16" ht="24">
      <c r="A80" s="12">
        <v>79</v>
      </c>
      <c r="B80" s="2" t="s">
        <v>270</v>
      </c>
      <c r="C80" s="2" t="s">
        <v>268</v>
      </c>
      <c r="D80" s="1" t="s">
        <v>76</v>
      </c>
      <c r="E80" s="13" t="s">
        <v>830</v>
      </c>
      <c r="F80" s="2" t="s">
        <v>106</v>
      </c>
      <c r="G80" s="12" t="s">
        <v>824</v>
      </c>
      <c r="H80" s="14" t="s">
        <v>823</v>
      </c>
      <c r="I80" s="3" t="s">
        <v>266</v>
      </c>
      <c r="J80" s="16">
        <f>JG</f>
        <v>4.658929598094395</v>
      </c>
      <c r="K80" s="13">
        <v>4</v>
      </c>
      <c r="L80" s="16">
        <f t="shared" si="17"/>
        <v>18.63571839237758</v>
      </c>
      <c r="M80" s="16">
        <v>14.5</v>
      </c>
      <c r="N80" s="18">
        <f t="shared" si="18"/>
        <v>0.27021791668947492</v>
      </c>
      <c r="O80" s="16">
        <v>0.49299999999999999</v>
      </c>
      <c r="P80" s="18">
        <f t="shared" si="19"/>
        <v>9.1874091674421461</v>
      </c>
    </row>
    <row r="81" spans="1:16" ht="24">
      <c r="A81" s="12">
        <v>80</v>
      </c>
      <c r="B81" s="2" t="s">
        <v>270</v>
      </c>
      <c r="C81" s="2" t="s">
        <v>268</v>
      </c>
      <c r="D81" s="1" t="s">
        <v>76</v>
      </c>
      <c r="E81" s="13" t="s">
        <v>830</v>
      </c>
      <c r="F81" s="2" t="s">
        <v>106</v>
      </c>
      <c r="G81" s="12" t="s">
        <v>824</v>
      </c>
      <c r="H81" s="14" t="s">
        <v>823</v>
      </c>
      <c r="I81" s="3" t="s">
        <v>79</v>
      </c>
      <c r="J81" s="16">
        <f>JG</f>
        <v>4.6097722286464435</v>
      </c>
      <c r="K81" s="13">
        <v>8</v>
      </c>
      <c r="L81" s="16">
        <f t="shared" si="17"/>
        <v>36.878177829171548</v>
      </c>
      <c r="M81" s="16">
        <v>14.5</v>
      </c>
      <c r="N81" s="18">
        <f t="shared" si="18"/>
        <v>0.53473357852298753</v>
      </c>
      <c r="O81" s="16">
        <v>0.49299999999999999</v>
      </c>
      <c r="P81" s="18">
        <f t="shared" si="19"/>
        <v>18.180941669781571</v>
      </c>
    </row>
    <row r="82" spans="1:16" ht="24">
      <c r="A82" s="12">
        <v>81</v>
      </c>
      <c r="B82" s="2" t="s">
        <v>270</v>
      </c>
      <c r="C82" s="2" t="s">
        <v>268</v>
      </c>
      <c r="D82" s="1" t="s">
        <v>76</v>
      </c>
      <c r="E82" s="13" t="s">
        <v>830</v>
      </c>
      <c r="F82" s="2" t="s">
        <v>106</v>
      </c>
      <c r="G82" s="12" t="s">
        <v>824</v>
      </c>
      <c r="H82" s="14" t="s">
        <v>823</v>
      </c>
      <c r="I82" s="3" t="s">
        <v>267</v>
      </c>
      <c r="J82" s="16">
        <f>JG</f>
        <v>4.3900455578501685</v>
      </c>
      <c r="K82" s="13">
        <v>4</v>
      </c>
      <c r="L82" s="16">
        <f t="shared" si="17"/>
        <v>17.560182231400674</v>
      </c>
      <c r="M82" s="16">
        <v>14.5</v>
      </c>
      <c r="N82" s="18">
        <f t="shared" si="18"/>
        <v>0.25462264235530979</v>
      </c>
      <c r="O82" s="16">
        <v>0.49299999999999999</v>
      </c>
      <c r="P82" s="18">
        <f t="shared" si="19"/>
        <v>8.6571698400805328</v>
      </c>
    </row>
    <row r="83" spans="1:16" ht="24">
      <c r="A83" s="12">
        <v>82</v>
      </c>
      <c r="B83" s="2" t="s">
        <v>272</v>
      </c>
      <c r="C83" s="2" t="s">
        <v>269</v>
      </c>
      <c r="D83" s="1" t="s">
        <v>273</v>
      </c>
      <c r="E83" s="13" t="s">
        <v>827</v>
      </c>
      <c r="F83" s="2" t="s">
        <v>274</v>
      </c>
      <c r="G83" s="12" t="s">
        <v>824</v>
      </c>
      <c r="H83" s="14" t="s">
        <v>823</v>
      </c>
      <c r="I83" s="3" t="s">
        <v>275</v>
      </c>
      <c r="J83" s="16">
        <f>JG</f>
        <v>1.46</v>
      </c>
      <c r="K83" s="13">
        <v>2</v>
      </c>
      <c r="L83" s="16">
        <f t="shared" si="17"/>
        <v>2.92</v>
      </c>
      <c r="M83" s="16">
        <v>40.4</v>
      </c>
      <c r="N83" s="18">
        <f t="shared" si="18"/>
        <v>0.11796799999999999</v>
      </c>
      <c r="O83" s="16">
        <v>1.01</v>
      </c>
      <c r="P83" s="18">
        <f t="shared" si="19"/>
        <v>2.9491999999999998</v>
      </c>
    </row>
    <row r="84" spans="1:16" ht="24">
      <c r="A84" s="12">
        <v>83</v>
      </c>
      <c r="B84" s="2" t="s">
        <v>272</v>
      </c>
      <c r="C84" s="2" t="s">
        <v>269</v>
      </c>
      <c r="D84" s="1" t="s">
        <v>276</v>
      </c>
      <c r="E84" s="13" t="s">
        <v>827</v>
      </c>
      <c r="F84" s="2" t="s">
        <v>277</v>
      </c>
      <c r="G84" s="12" t="s">
        <v>824</v>
      </c>
      <c r="H84" s="14" t="s">
        <v>823</v>
      </c>
      <c r="I84" s="3" t="s">
        <v>278</v>
      </c>
      <c r="J84" s="16">
        <f>JG</f>
        <v>6.8250000000000002</v>
      </c>
      <c r="K84" s="13">
        <v>1</v>
      </c>
      <c r="L84" s="16">
        <f t="shared" si="17"/>
        <v>6.8250000000000002</v>
      </c>
      <c r="M84" s="16">
        <v>43.6</v>
      </c>
      <c r="N84" s="18">
        <f t="shared" si="18"/>
        <v>0.29757</v>
      </c>
      <c r="O84" s="16">
        <v>1.1499999999999999</v>
      </c>
      <c r="P84" s="18">
        <f t="shared" si="19"/>
        <v>7.8487499999999999</v>
      </c>
    </row>
    <row r="85" spans="1:16" ht="24">
      <c r="A85" s="12">
        <v>84</v>
      </c>
      <c r="B85" s="2" t="s">
        <v>272</v>
      </c>
      <c r="C85" s="2" t="s">
        <v>269</v>
      </c>
      <c r="D85" s="1" t="s">
        <v>279</v>
      </c>
      <c r="E85" s="13" t="s">
        <v>828</v>
      </c>
      <c r="F85" s="2" t="s">
        <v>280</v>
      </c>
      <c r="G85" s="12" t="s">
        <v>824</v>
      </c>
      <c r="H85" s="14" t="s">
        <v>823</v>
      </c>
      <c r="I85" s="3" t="s">
        <v>281</v>
      </c>
      <c r="J85" s="16">
        <f>JG</f>
        <v>4</v>
      </c>
      <c r="K85" s="13">
        <v>1</v>
      </c>
      <c r="L85" s="16">
        <f t="shared" si="17"/>
        <v>4</v>
      </c>
      <c r="M85" s="16">
        <f>0.083*0.153*0.007*7850</f>
        <v>0.69781005000000007</v>
      </c>
      <c r="N85" s="18">
        <f t="shared" si="18"/>
        <v>2.7912402000000005E-3</v>
      </c>
      <c r="O85" s="16">
        <f>0.083*2*0.153</f>
        <v>2.5398E-2</v>
      </c>
      <c r="P85" s="18">
        <f t="shared" si="19"/>
        <v>0.101592</v>
      </c>
    </row>
    <row r="86" spans="1:16" ht="24">
      <c r="A86" s="12">
        <v>85</v>
      </c>
      <c r="B86" s="2" t="s">
        <v>272</v>
      </c>
      <c r="C86" s="2" t="s">
        <v>269</v>
      </c>
      <c r="D86" s="1" t="s">
        <v>292</v>
      </c>
      <c r="E86" s="13" t="s">
        <v>827</v>
      </c>
      <c r="F86" s="2" t="s">
        <v>189</v>
      </c>
      <c r="G86" s="12" t="s">
        <v>824</v>
      </c>
      <c r="H86" s="14" t="s">
        <v>823</v>
      </c>
      <c r="I86" s="3" t="s">
        <v>275</v>
      </c>
      <c r="J86" s="16">
        <f>JG</f>
        <v>1.46</v>
      </c>
      <c r="K86" s="13">
        <v>2</v>
      </c>
      <c r="L86" s="16">
        <f t="shared" si="17"/>
        <v>2.92</v>
      </c>
      <c r="M86" s="16">
        <v>31.1</v>
      </c>
      <c r="N86" s="18">
        <f t="shared" si="18"/>
        <v>9.0812000000000004E-2</v>
      </c>
      <c r="O86" s="16">
        <v>0.872</v>
      </c>
      <c r="P86" s="18">
        <f t="shared" si="19"/>
        <v>2.5462400000000001</v>
      </c>
    </row>
    <row r="87" spans="1:16" ht="24">
      <c r="A87" s="12">
        <v>86</v>
      </c>
      <c r="B87" s="2" t="s">
        <v>272</v>
      </c>
      <c r="C87" s="2" t="s">
        <v>269</v>
      </c>
      <c r="D87" s="1" t="s">
        <v>293</v>
      </c>
      <c r="E87" s="13" t="s">
        <v>827</v>
      </c>
      <c r="F87" s="2" t="s">
        <v>30</v>
      </c>
      <c r="G87" s="12" t="s">
        <v>824</v>
      </c>
      <c r="H87" s="14" t="s">
        <v>823</v>
      </c>
      <c r="I87" s="3" t="s">
        <v>294</v>
      </c>
      <c r="J87" s="16">
        <f>JG</f>
        <v>4.8499999999999996</v>
      </c>
      <c r="K87" s="13">
        <v>1</v>
      </c>
      <c r="L87" s="16">
        <f t="shared" si="17"/>
        <v>4.8499999999999996</v>
      </c>
      <c r="M87" s="16">
        <v>29</v>
      </c>
      <c r="N87" s="18">
        <f t="shared" si="18"/>
        <v>0.14064999999999997</v>
      </c>
      <c r="O87" s="16">
        <v>0.97399999999999998</v>
      </c>
      <c r="P87" s="18">
        <f t="shared" si="19"/>
        <v>4.7238999999999995</v>
      </c>
    </row>
    <row r="88" spans="1:16" ht="24">
      <c r="A88" s="12">
        <v>87</v>
      </c>
      <c r="B88" s="2" t="s">
        <v>272</v>
      </c>
      <c r="C88" s="2" t="s">
        <v>269</v>
      </c>
      <c r="D88" s="1" t="s">
        <v>99</v>
      </c>
      <c r="E88" s="13" t="s">
        <v>828</v>
      </c>
      <c r="F88" s="2" t="s">
        <v>295</v>
      </c>
      <c r="G88" s="12" t="s">
        <v>824</v>
      </c>
      <c r="H88" s="14" t="s">
        <v>823</v>
      </c>
      <c r="I88" s="3" t="s">
        <v>103</v>
      </c>
      <c r="J88" s="16">
        <f>JG</f>
        <v>4</v>
      </c>
      <c r="K88" s="13">
        <v>1</v>
      </c>
      <c r="L88" s="16">
        <f t="shared" si="17"/>
        <v>4</v>
      </c>
      <c r="M88" s="16">
        <f>0.071*0.13*0.006*7850</f>
        <v>0.43473300000000004</v>
      </c>
      <c r="N88" s="18">
        <f t="shared" si="18"/>
        <v>1.7389320000000001E-3</v>
      </c>
      <c r="O88" s="16">
        <f>0.071*2*0.13</f>
        <v>1.8460000000000001E-2</v>
      </c>
      <c r="P88" s="18">
        <f t="shared" si="19"/>
        <v>7.3840000000000003E-2</v>
      </c>
    </row>
    <row r="89" spans="1:16" ht="24">
      <c r="A89" s="12">
        <v>88</v>
      </c>
      <c r="B89" s="2" t="s">
        <v>282</v>
      </c>
      <c r="C89" s="2" t="s">
        <v>269</v>
      </c>
      <c r="D89" s="1" t="s">
        <v>283</v>
      </c>
      <c r="E89" s="13" t="s">
        <v>827</v>
      </c>
      <c r="F89" s="2" t="s">
        <v>28</v>
      </c>
      <c r="G89" s="12" t="s">
        <v>824</v>
      </c>
      <c r="H89" s="14" t="s">
        <v>823</v>
      </c>
      <c r="I89" s="3" t="s">
        <v>284</v>
      </c>
      <c r="J89" s="16">
        <f>JG</f>
        <v>198</v>
      </c>
      <c r="K89" s="13">
        <v>1</v>
      </c>
      <c r="L89" s="16">
        <f t="shared" si="17"/>
        <v>198</v>
      </c>
      <c r="M89" s="16">
        <v>78.099999999999994</v>
      </c>
      <c r="N89" s="18">
        <f t="shared" si="18"/>
        <v>15.463799999999999</v>
      </c>
      <c r="O89" s="16">
        <v>1.64</v>
      </c>
      <c r="P89" s="18">
        <f t="shared" si="19"/>
        <v>324.71999999999997</v>
      </c>
    </row>
    <row r="90" spans="1:16" ht="24">
      <c r="A90" s="12">
        <v>89</v>
      </c>
      <c r="B90" s="2" t="s">
        <v>282</v>
      </c>
      <c r="C90" s="2" t="s">
        <v>269</v>
      </c>
      <c r="D90" s="1" t="s">
        <v>285</v>
      </c>
      <c r="E90" s="13" t="s">
        <v>827</v>
      </c>
      <c r="F90" s="2" t="s">
        <v>28</v>
      </c>
      <c r="G90" s="12" t="s">
        <v>824</v>
      </c>
      <c r="H90" s="14" t="s">
        <v>823</v>
      </c>
      <c r="I90" s="3" t="s">
        <v>365</v>
      </c>
      <c r="J90" s="16">
        <f>JG</f>
        <v>120.85000000000001</v>
      </c>
      <c r="K90" s="13">
        <v>1</v>
      </c>
      <c r="L90" s="16">
        <f t="shared" si="17"/>
        <v>120.85000000000001</v>
      </c>
      <c r="M90" s="16">
        <v>78.099999999999994</v>
      </c>
      <c r="N90" s="18">
        <f t="shared" si="18"/>
        <v>9.4383850000000002</v>
      </c>
      <c r="O90" s="16">
        <v>1.64</v>
      </c>
      <c r="P90" s="18">
        <f t="shared" si="19"/>
        <v>198.19399999999999</v>
      </c>
    </row>
    <row r="91" spans="1:16" ht="48">
      <c r="A91" s="12">
        <v>90</v>
      </c>
      <c r="B91" s="2" t="s">
        <v>282</v>
      </c>
      <c r="C91" s="2" t="s">
        <v>269</v>
      </c>
      <c r="D91" s="1" t="s">
        <v>286</v>
      </c>
      <c r="E91" s="13" t="s">
        <v>827</v>
      </c>
      <c r="F91" s="2" t="s">
        <v>237</v>
      </c>
      <c r="G91" s="12" t="s">
        <v>824</v>
      </c>
      <c r="H91" s="14" t="s">
        <v>823</v>
      </c>
      <c r="I91" s="3" t="s">
        <v>288</v>
      </c>
      <c r="J91" s="16">
        <f>JG</f>
        <v>117.82499999999999</v>
      </c>
      <c r="K91" s="13">
        <v>1</v>
      </c>
      <c r="L91" s="16">
        <f t="shared" si="17"/>
        <v>117.82499999999999</v>
      </c>
      <c r="M91" s="16">
        <v>14</v>
      </c>
      <c r="N91" s="18">
        <f t="shared" si="18"/>
        <v>1.6495499999999998</v>
      </c>
      <c r="O91" s="16">
        <v>0.57599999999999996</v>
      </c>
      <c r="P91" s="18">
        <f t="shared" si="19"/>
        <v>67.867199999999983</v>
      </c>
    </row>
    <row r="92" spans="1:16" ht="24">
      <c r="A92" s="12">
        <v>91</v>
      </c>
      <c r="B92" s="2" t="s">
        <v>282</v>
      </c>
      <c r="C92" s="2" t="s">
        <v>269</v>
      </c>
      <c r="D92" s="1" t="s">
        <v>99</v>
      </c>
      <c r="E92" s="13" t="s">
        <v>828</v>
      </c>
      <c r="F92" s="2" t="s">
        <v>244</v>
      </c>
      <c r="G92" s="12" t="s">
        <v>824</v>
      </c>
      <c r="H92" s="14" t="s">
        <v>823</v>
      </c>
      <c r="I92" s="3" t="s">
        <v>289</v>
      </c>
      <c r="J92" s="16">
        <f>JG</f>
        <v>36</v>
      </c>
      <c r="K92" s="13">
        <v>1</v>
      </c>
      <c r="L92" s="16">
        <f t="shared" si="17"/>
        <v>36</v>
      </c>
      <c r="M92" s="16">
        <f>0.12*0.312*0.005*7850</f>
        <v>1.4695199999999999</v>
      </c>
      <c r="N92" s="18">
        <f t="shared" si="18"/>
        <v>5.2902719999999993E-2</v>
      </c>
      <c r="O92" s="16">
        <f>0.12*2*0.312</f>
        <v>7.4880000000000002E-2</v>
      </c>
      <c r="P92" s="18">
        <f t="shared" si="19"/>
        <v>2.6956800000000003</v>
      </c>
    </row>
    <row r="93" spans="1:16" ht="24">
      <c r="A93" s="12">
        <v>92</v>
      </c>
      <c r="B93" s="2" t="s">
        <v>282</v>
      </c>
      <c r="C93" s="2" t="s">
        <v>269</v>
      </c>
      <c r="D93" s="1" t="s">
        <v>99</v>
      </c>
      <c r="E93" s="13" t="s">
        <v>828</v>
      </c>
      <c r="F93" s="2" t="s">
        <v>245</v>
      </c>
      <c r="G93" s="12" t="s">
        <v>824</v>
      </c>
      <c r="H93" s="14" t="s">
        <v>823</v>
      </c>
      <c r="I93" s="3" t="s">
        <v>290</v>
      </c>
      <c r="J93" s="16">
        <f>JG</f>
        <v>56</v>
      </c>
      <c r="K93" s="13">
        <v>1</v>
      </c>
      <c r="L93" s="16">
        <f t="shared" si="17"/>
        <v>56</v>
      </c>
      <c r="M93" s="16">
        <f>0.071*0.282*0.005*7850</f>
        <v>0.78586349999999983</v>
      </c>
      <c r="N93" s="18">
        <f t="shared" si="18"/>
        <v>4.4008355999999992E-2</v>
      </c>
      <c r="O93" s="16">
        <f>0.071*2*0.282</f>
        <v>4.0043999999999989E-2</v>
      </c>
      <c r="P93" s="18">
        <f t="shared" si="19"/>
        <v>2.2424639999999996</v>
      </c>
    </row>
    <row r="94" spans="1:16" ht="24">
      <c r="A94" s="12">
        <v>93</v>
      </c>
      <c r="B94" s="2" t="s">
        <v>282</v>
      </c>
      <c r="C94" s="2" t="s">
        <v>269</v>
      </c>
      <c r="D94" s="1" t="s">
        <v>99</v>
      </c>
      <c r="E94" s="13" t="s">
        <v>828</v>
      </c>
      <c r="F94" s="2" t="s">
        <v>247</v>
      </c>
      <c r="G94" s="12" t="s">
        <v>824</v>
      </c>
      <c r="H94" s="14" t="s">
        <v>823</v>
      </c>
      <c r="I94" s="3" t="s">
        <v>291</v>
      </c>
      <c r="J94" s="16">
        <f>JG</f>
        <v>2</v>
      </c>
      <c r="K94" s="13">
        <v>1</v>
      </c>
      <c r="L94" s="16">
        <f t="shared" si="17"/>
        <v>2</v>
      </c>
      <c r="M94" s="16">
        <f>0.084*0.328*0.005*7850</f>
        <v>1.0814160000000002</v>
      </c>
      <c r="N94" s="18">
        <f t="shared" si="18"/>
        <v>2.1628320000000004E-3</v>
      </c>
      <c r="O94" s="16">
        <f>0.084*2*0.328</f>
        <v>5.5104000000000007E-2</v>
      </c>
      <c r="P94" s="18">
        <f t="shared" si="19"/>
        <v>0.11020800000000001</v>
      </c>
    </row>
    <row r="95" spans="1:16" ht="24">
      <c r="A95" s="12">
        <v>94</v>
      </c>
      <c r="B95" s="2" t="s">
        <v>282</v>
      </c>
      <c r="C95" s="2" t="s">
        <v>269</v>
      </c>
      <c r="D95" s="1" t="s">
        <v>250</v>
      </c>
      <c r="E95" s="13" t="s">
        <v>827</v>
      </c>
      <c r="F95" s="2" t="s">
        <v>252</v>
      </c>
      <c r="G95" s="12" t="s">
        <v>824</v>
      </c>
      <c r="H95" s="14" t="s">
        <v>823</v>
      </c>
      <c r="I95" s="3" t="s">
        <v>33</v>
      </c>
      <c r="J95" s="16">
        <f>JG</f>
        <v>6.75</v>
      </c>
      <c r="K95" s="13">
        <v>24</v>
      </c>
      <c r="L95" s="16">
        <f t="shared" si="17"/>
        <v>162</v>
      </c>
      <c r="M95" s="16">
        <v>36.700000000000003</v>
      </c>
      <c r="N95" s="18">
        <f t="shared" si="18"/>
        <v>5.9454000000000002</v>
      </c>
      <c r="O95" s="16">
        <v>1.1599999999999999</v>
      </c>
      <c r="P95" s="18">
        <f t="shared" si="19"/>
        <v>187.92</v>
      </c>
    </row>
    <row r="96" spans="1:16" ht="24">
      <c r="A96" s="12">
        <v>95</v>
      </c>
      <c r="B96" s="2" t="s">
        <v>282</v>
      </c>
      <c r="C96" s="2" t="s">
        <v>269</v>
      </c>
      <c r="D96" s="1" t="s">
        <v>99</v>
      </c>
      <c r="E96" s="13" t="s">
        <v>828</v>
      </c>
      <c r="F96" s="2" t="s">
        <v>296</v>
      </c>
      <c r="G96" s="12" t="s">
        <v>824</v>
      </c>
      <c r="H96" s="14" t="s">
        <v>823</v>
      </c>
      <c r="I96" s="3" t="s">
        <v>297</v>
      </c>
      <c r="J96" s="16">
        <f>JG</f>
        <v>96</v>
      </c>
      <c r="K96" s="13">
        <v>1</v>
      </c>
      <c r="L96" s="16">
        <f t="shared" si="17"/>
        <v>96</v>
      </c>
      <c r="M96" s="16">
        <f>0.12*0.312*0.0065*7850</f>
        <v>1.9103760000000001</v>
      </c>
      <c r="N96" s="18">
        <f t="shared" si="18"/>
        <v>0.18339609600000001</v>
      </c>
      <c r="O96" s="16">
        <f>0.12*2*0.312</f>
        <v>7.4880000000000002E-2</v>
      </c>
      <c r="P96" s="18">
        <f t="shared" si="19"/>
        <v>7.1884800000000002</v>
      </c>
    </row>
    <row r="97" spans="1:16" ht="24">
      <c r="A97" s="12">
        <v>96</v>
      </c>
      <c r="B97" s="2" t="s">
        <v>282</v>
      </c>
      <c r="C97" s="2" t="s">
        <v>269</v>
      </c>
      <c r="D97" s="1" t="s">
        <v>250</v>
      </c>
      <c r="E97" s="13" t="s">
        <v>827</v>
      </c>
      <c r="F97" s="2" t="s">
        <v>252</v>
      </c>
      <c r="G97" s="12" t="s">
        <v>824</v>
      </c>
      <c r="H97" s="14" t="s">
        <v>823</v>
      </c>
      <c r="I97" s="3" t="s">
        <v>298</v>
      </c>
      <c r="J97" s="16">
        <f>JG</f>
        <v>6.85</v>
      </c>
      <c r="K97" s="13">
        <v>1</v>
      </c>
      <c r="L97" s="16">
        <f t="shared" si="17"/>
        <v>6.85</v>
      </c>
      <c r="M97" s="16">
        <v>36.700000000000003</v>
      </c>
      <c r="N97" s="18">
        <f t="shared" si="18"/>
        <v>0.25139500000000004</v>
      </c>
      <c r="O97" s="16">
        <v>1.1599999999999999</v>
      </c>
      <c r="P97" s="18">
        <f t="shared" si="19"/>
        <v>7.9459999999999988</v>
      </c>
    </row>
    <row r="98" spans="1:16" ht="24">
      <c r="A98" s="12">
        <v>97</v>
      </c>
      <c r="B98" s="2" t="s">
        <v>282</v>
      </c>
      <c r="C98" s="2" t="s">
        <v>269</v>
      </c>
      <c r="D98" s="1" t="s">
        <v>99</v>
      </c>
      <c r="E98" s="13" t="s">
        <v>828</v>
      </c>
      <c r="F98" s="2" t="s">
        <v>299</v>
      </c>
      <c r="G98" s="12" t="s">
        <v>824</v>
      </c>
      <c r="H98" s="14" t="s">
        <v>823</v>
      </c>
      <c r="I98" s="3" t="s">
        <v>103</v>
      </c>
      <c r="J98" s="16">
        <f>JG</f>
        <v>4</v>
      </c>
      <c r="K98" s="13">
        <v>1</v>
      </c>
      <c r="L98" s="16">
        <f t="shared" si="17"/>
        <v>4</v>
      </c>
      <c r="M98" s="16">
        <f>0.071*0.282*0.0065*7850</f>
        <v>1.0216225499999998</v>
      </c>
      <c r="N98" s="18">
        <f t="shared" si="18"/>
        <v>4.0864901999999991E-3</v>
      </c>
      <c r="O98" s="16">
        <f>0.071*2*0.282</f>
        <v>4.0043999999999989E-2</v>
      </c>
      <c r="P98" s="18">
        <f t="shared" si="19"/>
        <v>0.16017599999999996</v>
      </c>
    </row>
    <row r="99" spans="1:16" ht="24">
      <c r="A99" s="12">
        <v>98</v>
      </c>
      <c r="B99" s="2" t="s">
        <v>282</v>
      </c>
      <c r="C99" s="2" t="s">
        <v>269</v>
      </c>
      <c r="D99" s="1" t="s">
        <v>250</v>
      </c>
      <c r="E99" s="13" t="s">
        <v>827</v>
      </c>
      <c r="F99" s="2" t="s">
        <v>252</v>
      </c>
      <c r="G99" s="12" t="s">
        <v>824</v>
      </c>
      <c r="H99" s="14" t="s">
        <v>823</v>
      </c>
      <c r="I99" s="3" t="s">
        <v>278</v>
      </c>
      <c r="J99" s="16">
        <f>JG</f>
        <v>6.8250000000000002</v>
      </c>
      <c r="K99" s="13">
        <v>1</v>
      </c>
      <c r="L99" s="16">
        <f t="shared" si="17"/>
        <v>6.8250000000000002</v>
      </c>
      <c r="M99" s="16">
        <v>36.700000000000003</v>
      </c>
      <c r="N99" s="18">
        <f t="shared" si="18"/>
        <v>0.25047750000000002</v>
      </c>
      <c r="O99" s="16">
        <v>1.1599999999999999</v>
      </c>
      <c r="P99" s="18">
        <f t="shared" si="19"/>
        <v>7.9169999999999998</v>
      </c>
    </row>
    <row r="100" spans="1:16" ht="24">
      <c r="A100" s="12">
        <v>99</v>
      </c>
      <c r="B100" s="2" t="s">
        <v>282</v>
      </c>
      <c r="C100" s="2" t="s">
        <v>269</v>
      </c>
      <c r="D100" s="1" t="s">
        <v>99</v>
      </c>
      <c r="E100" s="13" t="s">
        <v>828</v>
      </c>
      <c r="F100" s="2" t="s">
        <v>300</v>
      </c>
      <c r="G100" s="12" t="s">
        <v>824</v>
      </c>
      <c r="H100" s="14" t="s">
        <v>823</v>
      </c>
      <c r="I100" s="3" t="s">
        <v>303</v>
      </c>
      <c r="J100" s="16">
        <f>JG</f>
        <v>4</v>
      </c>
      <c r="K100" s="13">
        <v>1</v>
      </c>
      <c r="L100" s="16">
        <f t="shared" ref="L100:L131" si="20">J100*K100</f>
        <v>4</v>
      </c>
      <c r="M100" s="16">
        <f>0.084*0.328*0.0065*7850</f>
        <v>1.4058408000000002</v>
      </c>
      <c r="N100" s="18">
        <f t="shared" ref="N100:N131" si="21">L100*M100*0.001</f>
        <v>5.6233632000000011E-3</v>
      </c>
      <c r="O100" s="16">
        <f>0.084*2*0.328</f>
        <v>5.5104000000000007E-2</v>
      </c>
      <c r="P100" s="18">
        <f t="shared" ref="P100:P131" si="22">O100*L100</f>
        <v>0.22041600000000003</v>
      </c>
    </row>
    <row r="101" spans="1:16" ht="24">
      <c r="A101" s="12">
        <v>100</v>
      </c>
      <c r="B101" s="2" t="s">
        <v>282</v>
      </c>
      <c r="C101" s="2" t="s">
        <v>269</v>
      </c>
      <c r="D101" s="1" t="s">
        <v>250</v>
      </c>
      <c r="E101" s="13" t="s">
        <v>827</v>
      </c>
      <c r="F101" s="2" t="s">
        <v>252</v>
      </c>
      <c r="G101" s="12" t="s">
        <v>824</v>
      </c>
      <c r="H101" s="14" t="s">
        <v>823</v>
      </c>
      <c r="I101" s="3" t="s">
        <v>180</v>
      </c>
      <c r="J101" s="16">
        <f>JG</f>
        <v>6.8</v>
      </c>
      <c r="K101" s="13">
        <v>2</v>
      </c>
      <c r="L101" s="16">
        <f t="shared" si="20"/>
        <v>13.6</v>
      </c>
      <c r="M101" s="16">
        <v>36.700000000000003</v>
      </c>
      <c r="N101" s="18">
        <f t="shared" si="21"/>
        <v>0.49912000000000001</v>
      </c>
      <c r="O101" s="16">
        <v>1.1599999999999999</v>
      </c>
      <c r="P101" s="18">
        <f t="shared" si="22"/>
        <v>15.775999999999998</v>
      </c>
    </row>
    <row r="102" spans="1:16" ht="24">
      <c r="A102" s="12">
        <v>101</v>
      </c>
      <c r="B102" s="2" t="s">
        <v>282</v>
      </c>
      <c r="C102" s="2" t="s">
        <v>269</v>
      </c>
      <c r="D102" s="1" t="s">
        <v>99</v>
      </c>
      <c r="E102" s="13" t="s">
        <v>828</v>
      </c>
      <c r="F102" s="2" t="s">
        <v>302</v>
      </c>
      <c r="G102" s="12" t="s">
        <v>824</v>
      </c>
      <c r="H102" s="14" t="s">
        <v>823</v>
      </c>
      <c r="I102" s="3" t="s">
        <v>301</v>
      </c>
      <c r="J102" s="16">
        <f>JG</f>
        <v>8</v>
      </c>
      <c r="K102" s="13">
        <v>1</v>
      </c>
      <c r="L102" s="16">
        <f t="shared" si="20"/>
        <v>8</v>
      </c>
      <c r="M102" s="16">
        <f>0.095*0.422*0.0065*7850</f>
        <v>2.0455922499999999</v>
      </c>
      <c r="N102" s="18">
        <f t="shared" si="21"/>
        <v>1.6364738E-2</v>
      </c>
      <c r="O102" s="16">
        <f>0.095*2*0.422</f>
        <v>8.0180000000000001E-2</v>
      </c>
      <c r="P102" s="18">
        <f t="shared" si="22"/>
        <v>0.64144000000000001</v>
      </c>
    </row>
    <row r="103" spans="1:16" ht="24">
      <c r="A103" s="12">
        <v>102</v>
      </c>
      <c r="B103" s="2" t="s">
        <v>282</v>
      </c>
      <c r="C103" s="2" t="s">
        <v>269</v>
      </c>
      <c r="D103" s="1" t="s">
        <v>260</v>
      </c>
      <c r="E103" s="13" t="s">
        <v>827</v>
      </c>
      <c r="F103" s="2" t="s">
        <v>261</v>
      </c>
      <c r="G103" s="12" t="s">
        <v>824</v>
      </c>
      <c r="H103" s="14" t="s">
        <v>823</v>
      </c>
      <c r="I103" s="3" t="s">
        <v>278</v>
      </c>
      <c r="J103" s="16">
        <f>JG</f>
        <v>6.8250000000000002</v>
      </c>
      <c r="K103" s="13">
        <v>1</v>
      </c>
      <c r="L103" s="16">
        <f t="shared" si="20"/>
        <v>6.8250000000000002</v>
      </c>
      <c r="M103" s="16">
        <v>49.4</v>
      </c>
      <c r="N103" s="18">
        <f t="shared" si="21"/>
        <v>0.33715499999999998</v>
      </c>
      <c r="O103" s="16">
        <v>1.36</v>
      </c>
      <c r="P103" s="18">
        <f t="shared" si="22"/>
        <v>9.282</v>
      </c>
    </row>
    <row r="104" spans="1:16" ht="24">
      <c r="A104" s="12">
        <v>103</v>
      </c>
      <c r="B104" s="2" t="s">
        <v>282</v>
      </c>
      <c r="C104" s="2" t="s">
        <v>269</v>
      </c>
      <c r="D104" s="1" t="s">
        <v>99</v>
      </c>
      <c r="E104" s="13" t="s">
        <v>828</v>
      </c>
      <c r="F104" s="2" t="s">
        <v>304</v>
      </c>
      <c r="G104" s="12" t="s">
        <v>824</v>
      </c>
      <c r="H104" s="14" t="s">
        <v>823</v>
      </c>
      <c r="I104" s="3" t="s">
        <v>103</v>
      </c>
      <c r="J104" s="16">
        <f>JG</f>
        <v>4</v>
      </c>
      <c r="K104" s="13">
        <v>1</v>
      </c>
      <c r="L104" s="16">
        <f t="shared" si="20"/>
        <v>4</v>
      </c>
      <c r="M104" s="16">
        <f>0.084*0.328*0.007*7850</f>
        <v>1.5139824000000002</v>
      </c>
      <c r="N104" s="18">
        <f t="shared" si="21"/>
        <v>6.0559296000000009E-3</v>
      </c>
      <c r="O104" s="16">
        <f>0.084*2*0.328</f>
        <v>5.5104000000000007E-2</v>
      </c>
      <c r="P104" s="18">
        <f t="shared" si="22"/>
        <v>0.22041600000000003</v>
      </c>
    </row>
    <row r="105" spans="1:16" ht="24">
      <c r="A105" s="12">
        <v>104</v>
      </c>
      <c r="B105" s="2" t="s">
        <v>282</v>
      </c>
      <c r="C105" s="2" t="s">
        <v>269</v>
      </c>
      <c r="D105" s="1" t="s">
        <v>305</v>
      </c>
      <c r="E105" s="13" t="s">
        <v>827</v>
      </c>
      <c r="F105" s="2" t="s">
        <v>261</v>
      </c>
      <c r="G105" s="12" t="s">
        <v>824</v>
      </c>
      <c r="H105" s="14" t="s">
        <v>823</v>
      </c>
      <c r="I105" s="3" t="s">
        <v>306</v>
      </c>
      <c r="J105" s="16">
        <f>JG</f>
        <v>25.4</v>
      </c>
      <c r="K105" s="13">
        <v>1</v>
      </c>
      <c r="L105" s="16">
        <f t="shared" si="20"/>
        <v>25.4</v>
      </c>
      <c r="M105" s="16">
        <v>49.4</v>
      </c>
      <c r="N105" s="18">
        <f t="shared" si="21"/>
        <v>1.2547600000000001</v>
      </c>
      <c r="O105" s="16">
        <v>1.36</v>
      </c>
      <c r="P105" s="18">
        <f t="shared" si="22"/>
        <v>34.544000000000004</v>
      </c>
    </row>
    <row r="106" spans="1:16" ht="24">
      <c r="A106" s="12">
        <v>105</v>
      </c>
      <c r="B106" s="2" t="s">
        <v>282</v>
      </c>
      <c r="C106" s="2" t="s">
        <v>269</v>
      </c>
      <c r="D106" s="1" t="s">
        <v>307</v>
      </c>
      <c r="E106" s="13" t="s">
        <v>827</v>
      </c>
      <c r="F106" s="2" t="s">
        <v>308</v>
      </c>
      <c r="G106" s="12" t="s">
        <v>824</v>
      </c>
      <c r="H106" s="14" t="s">
        <v>823</v>
      </c>
      <c r="I106" s="3">
        <v>9.5</v>
      </c>
      <c r="J106" s="16">
        <f>JG</f>
        <v>9.5</v>
      </c>
      <c r="K106" s="13">
        <v>2</v>
      </c>
      <c r="L106" s="16">
        <f t="shared" si="20"/>
        <v>19</v>
      </c>
      <c r="M106" s="16">
        <v>74.900000000000006</v>
      </c>
      <c r="N106" s="18">
        <f t="shared" si="21"/>
        <v>1.4231000000000003</v>
      </c>
      <c r="O106" s="16">
        <v>1.66</v>
      </c>
      <c r="P106" s="18">
        <f t="shared" si="22"/>
        <v>31.54</v>
      </c>
    </row>
    <row r="107" spans="1:16" ht="24">
      <c r="A107" s="12">
        <v>106</v>
      </c>
      <c r="B107" s="2" t="s">
        <v>282</v>
      </c>
      <c r="C107" s="2" t="s">
        <v>269</v>
      </c>
      <c r="D107" s="1" t="s">
        <v>76</v>
      </c>
      <c r="E107" s="13" t="s">
        <v>830</v>
      </c>
      <c r="F107" s="2" t="s">
        <v>309</v>
      </c>
      <c r="G107" s="12" t="s">
        <v>824</v>
      </c>
      <c r="H107" s="14" t="s">
        <v>823</v>
      </c>
      <c r="I107" s="3" t="s">
        <v>310</v>
      </c>
      <c r="J107" s="16">
        <f>JG</f>
        <v>4.3011626335213133</v>
      </c>
      <c r="K107" s="13">
        <v>4</v>
      </c>
      <c r="L107" s="16">
        <f t="shared" si="20"/>
        <v>17.204650534085253</v>
      </c>
      <c r="M107" s="16">
        <v>14.5</v>
      </c>
      <c r="N107" s="18">
        <f t="shared" si="21"/>
        <v>0.24946743274423616</v>
      </c>
      <c r="O107" s="16">
        <v>0.49299999999999999</v>
      </c>
      <c r="P107" s="18">
        <f t="shared" si="22"/>
        <v>8.4818927133040294</v>
      </c>
    </row>
    <row r="108" spans="1:16" ht="24">
      <c r="A108" s="12">
        <v>107</v>
      </c>
      <c r="B108" s="2" t="s">
        <v>282</v>
      </c>
      <c r="C108" s="2" t="s">
        <v>269</v>
      </c>
      <c r="D108" s="1" t="s">
        <v>76</v>
      </c>
      <c r="E108" s="13" t="s">
        <v>830</v>
      </c>
      <c r="F108" s="2" t="s">
        <v>309</v>
      </c>
      <c r="G108" s="12" t="s">
        <v>824</v>
      </c>
      <c r="H108" s="14" t="s">
        <v>823</v>
      </c>
      <c r="I108" s="3" t="s">
        <v>311</v>
      </c>
      <c r="J108" s="16">
        <f>JG</f>
        <v>4.0311288741492746</v>
      </c>
      <c r="K108" s="13">
        <v>2</v>
      </c>
      <c r="L108" s="16">
        <f t="shared" si="20"/>
        <v>8.0622577482985491</v>
      </c>
      <c r="M108" s="16">
        <v>14.5</v>
      </c>
      <c r="N108" s="18">
        <f t="shared" si="21"/>
        <v>0.11690273735032897</v>
      </c>
      <c r="O108" s="16">
        <v>0.49299999999999999</v>
      </c>
      <c r="P108" s="18">
        <f t="shared" si="22"/>
        <v>3.9746930699111847</v>
      </c>
    </row>
    <row r="109" spans="1:16" ht="24">
      <c r="A109" s="12">
        <v>108</v>
      </c>
      <c r="B109" s="2" t="s">
        <v>282</v>
      </c>
      <c r="C109" s="2" t="s">
        <v>269</v>
      </c>
      <c r="D109" s="1" t="s">
        <v>76</v>
      </c>
      <c r="E109" s="13" t="s">
        <v>830</v>
      </c>
      <c r="F109" s="2" t="s">
        <v>309</v>
      </c>
      <c r="G109" s="12" t="s">
        <v>824</v>
      </c>
      <c r="H109" s="14" t="s">
        <v>823</v>
      </c>
      <c r="I109" s="3" t="s">
        <v>312</v>
      </c>
      <c r="J109" s="16">
        <f>JG</f>
        <v>4.6097722286464435</v>
      </c>
      <c r="K109" s="13">
        <v>12</v>
      </c>
      <c r="L109" s="16">
        <f t="shared" si="20"/>
        <v>55.317266743757322</v>
      </c>
      <c r="M109" s="16">
        <v>14.5</v>
      </c>
      <c r="N109" s="18">
        <f t="shared" si="21"/>
        <v>0.80210036778448113</v>
      </c>
      <c r="O109" s="16">
        <v>0.49299999999999999</v>
      </c>
      <c r="P109" s="18">
        <f t="shared" si="22"/>
        <v>27.271412504672359</v>
      </c>
    </row>
    <row r="110" spans="1:16" ht="24">
      <c r="A110" s="12">
        <v>109</v>
      </c>
      <c r="B110" s="2" t="s">
        <v>282</v>
      </c>
      <c r="C110" s="2" t="s">
        <v>269</v>
      </c>
      <c r="D110" s="1" t="s">
        <v>76</v>
      </c>
      <c r="E110" s="13" t="s">
        <v>830</v>
      </c>
      <c r="F110" s="2" t="s">
        <v>309</v>
      </c>
      <c r="G110" s="12" t="s">
        <v>824</v>
      </c>
      <c r="H110" s="14" t="s">
        <v>823</v>
      </c>
      <c r="I110" s="3" t="s">
        <v>313</v>
      </c>
      <c r="J110" s="16">
        <f>JG</f>
        <v>4.7423622805517507</v>
      </c>
      <c r="K110" s="13">
        <v>4</v>
      </c>
      <c r="L110" s="16">
        <f t="shared" si="20"/>
        <v>18.969449122207003</v>
      </c>
      <c r="M110" s="16">
        <v>14.5</v>
      </c>
      <c r="N110" s="18">
        <f t="shared" si="21"/>
        <v>0.27505701227200152</v>
      </c>
      <c r="O110" s="16">
        <v>0.49299999999999999</v>
      </c>
      <c r="P110" s="18">
        <f t="shared" si="22"/>
        <v>9.3519384172480517</v>
      </c>
    </row>
    <row r="111" spans="1:16" ht="24">
      <c r="A111" s="12">
        <v>110</v>
      </c>
      <c r="B111" s="2" t="s">
        <v>282</v>
      </c>
      <c r="C111" s="2" t="s">
        <v>269</v>
      </c>
      <c r="D111" s="1" t="s">
        <v>76</v>
      </c>
      <c r="E111" s="13" t="s">
        <v>830</v>
      </c>
      <c r="F111" s="2" t="s">
        <v>309</v>
      </c>
      <c r="G111" s="12" t="s">
        <v>824</v>
      </c>
      <c r="H111" s="14" t="s">
        <v>823</v>
      </c>
      <c r="I111" s="3" t="s">
        <v>314</v>
      </c>
      <c r="J111" s="16">
        <f>JG</f>
        <v>4.6754678910243834</v>
      </c>
      <c r="K111" s="13">
        <v>2</v>
      </c>
      <c r="L111" s="16">
        <f t="shared" si="20"/>
        <v>9.3509357820487669</v>
      </c>
      <c r="M111" s="16">
        <v>14.5</v>
      </c>
      <c r="N111" s="18">
        <f t="shared" si="21"/>
        <v>0.1355885688397071</v>
      </c>
      <c r="O111" s="16">
        <v>0.49299999999999999</v>
      </c>
      <c r="P111" s="18">
        <f t="shared" si="22"/>
        <v>4.6100113405500416</v>
      </c>
    </row>
    <row r="112" spans="1:16" ht="24">
      <c r="A112" s="12">
        <v>111</v>
      </c>
      <c r="B112" s="2" t="s">
        <v>316</v>
      </c>
      <c r="C112" s="2" t="s">
        <v>315</v>
      </c>
      <c r="D112" s="1" t="s">
        <v>317</v>
      </c>
      <c r="E112" s="13" t="s">
        <v>827</v>
      </c>
      <c r="F112" s="2" t="s">
        <v>318</v>
      </c>
      <c r="G112" s="12" t="s">
        <v>824</v>
      </c>
      <c r="H112" s="14" t="s">
        <v>823</v>
      </c>
      <c r="I112" s="3" t="s">
        <v>319</v>
      </c>
      <c r="J112" s="16">
        <f>JG</f>
        <v>8.8000000000000007</v>
      </c>
      <c r="K112" s="13">
        <v>1</v>
      </c>
      <c r="L112" s="16">
        <f t="shared" si="20"/>
        <v>8.8000000000000007</v>
      </c>
      <c r="M112" s="16">
        <v>43.6</v>
      </c>
      <c r="N112" s="18">
        <f t="shared" si="21"/>
        <v>0.38368000000000008</v>
      </c>
      <c r="O112" s="16">
        <v>1.1499999999999999</v>
      </c>
      <c r="P112" s="18">
        <f t="shared" si="22"/>
        <v>10.119999999999999</v>
      </c>
    </row>
    <row r="113" spans="1:16" ht="24">
      <c r="A113" s="12">
        <v>112</v>
      </c>
      <c r="B113" s="2" t="s">
        <v>316</v>
      </c>
      <c r="C113" s="2" t="s">
        <v>315</v>
      </c>
      <c r="D113" s="1" t="s">
        <v>99</v>
      </c>
      <c r="E113" s="13" t="s">
        <v>828</v>
      </c>
      <c r="F113" s="2" t="s">
        <v>320</v>
      </c>
      <c r="G113" s="12" t="s">
        <v>824</v>
      </c>
      <c r="H113" s="14" t="s">
        <v>823</v>
      </c>
      <c r="I113" s="3" t="s">
        <v>103</v>
      </c>
      <c r="J113" s="16">
        <f>JG</f>
        <v>4</v>
      </c>
      <c r="K113" s="13">
        <v>1</v>
      </c>
      <c r="L113" s="16">
        <f t="shared" si="20"/>
        <v>4</v>
      </c>
      <c r="M113" s="16">
        <f>0.096*0.27*0.007*7850</f>
        <v>1.4243040000000002</v>
      </c>
      <c r="N113" s="18">
        <f t="shared" si="21"/>
        <v>5.6972160000000015E-3</v>
      </c>
      <c r="O113" s="16">
        <f>0.096*2*0.27</f>
        <v>5.1840000000000004E-2</v>
      </c>
      <c r="P113" s="18">
        <f t="shared" si="22"/>
        <v>0.20736000000000002</v>
      </c>
    </row>
    <row r="114" spans="1:16" ht="24">
      <c r="A114" s="12">
        <v>113</v>
      </c>
      <c r="B114" s="2" t="s">
        <v>316</v>
      </c>
      <c r="C114" s="2" t="s">
        <v>315</v>
      </c>
      <c r="D114" s="1" t="s">
        <v>276</v>
      </c>
      <c r="E114" s="13" t="s">
        <v>827</v>
      </c>
      <c r="F114" s="2" t="s">
        <v>318</v>
      </c>
      <c r="G114" s="12" t="s">
        <v>824</v>
      </c>
      <c r="H114" s="14" t="s">
        <v>823</v>
      </c>
      <c r="I114" s="3">
        <v>9</v>
      </c>
      <c r="J114" s="16">
        <f>JG</f>
        <v>9</v>
      </c>
      <c r="K114" s="13">
        <v>1</v>
      </c>
      <c r="L114" s="16">
        <f t="shared" si="20"/>
        <v>9</v>
      </c>
      <c r="M114" s="16">
        <v>43.6</v>
      </c>
      <c r="N114" s="18">
        <f t="shared" si="21"/>
        <v>0.39240000000000003</v>
      </c>
      <c r="O114" s="16">
        <v>1.1499999999999999</v>
      </c>
      <c r="P114" s="18">
        <f t="shared" si="22"/>
        <v>10.35</v>
      </c>
    </row>
    <row r="115" spans="1:16" ht="24">
      <c r="A115" s="12">
        <v>114</v>
      </c>
      <c r="B115" s="2" t="s">
        <v>316</v>
      </c>
      <c r="C115" s="2" t="s">
        <v>315</v>
      </c>
      <c r="D115" s="1" t="s">
        <v>68</v>
      </c>
      <c r="E115" s="13" t="s">
        <v>827</v>
      </c>
      <c r="F115" s="2" t="s">
        <v>89</v>
      </c>
      <c r="G115" s="12" t="s">
        <v>824</v>
      </c>
      <c r="H115" s="14" t="s">
        <v>823</v>
      </c>
      <c r="I115" s="3" t="s">
        <v>364</v>
      </c>
      <c r="J115" s="16">
        <f>JG</f>
        <v>4.125</v>
      </c>
      <c r="K115" s="13">
        <v>1</v>
      </c>
      <c r="L115" s="16">
        <f t="shared" si="20"/>
        <v>4.125</v>
      </c>
      <c r="M115" s="16">
        <v>55.8</v>
      </c>
      <c r="N115" s="18">
        <f t="shared" si="21"/>
        <v>0.23017499999999999</v>
      </c>
      <c r="O115" s="16">
        <v>1.35</v>
      </c>
      <c r="P115" s="18">
        <f t="shared" si="22"/>
        <v>5.5687500000000005</v>
      </c>
    </row>
    <row r="116" spans="1:16" ht="24">
      <c r="A116" s="12">
        <v>115</v>
      </c>
      <c r="B116" s="2" t="s">
        <v>316</v>
      </c>
      <c r="C116" s="2" t="s">
        <v>315</v>
      </c>
      <c r="D116" s="1" t="s">
        <v>25</v>
      </c>
      <c r="E116" s="13" t="s">
        <v>827</v>
      </c>
      <c r="F116" s="2" t="s">
        <v>29</v>
      </c>
      <c r="G116" s="12" t="s">
        <v>824</v>
      </c>
      <c r="H116" s="14" t="s">
        <v>823</v>
      </c>
      <c r="I116" s="3" t="s">
        <v>331</v>
      </c>
      <c r="J116" s="16">
        <f>JG</f>
        <v>2.0250000000000004</v>
      </c>
      <c r="K116" s="13">
        <v>3</v>
      </c>
      <c r="L116" s="16">
        <f t="shared" si="20"/>
        <v>6.0750000000000011</v>
      </c>
      <c r="M116" s="16">
        <v>20.9</v>
      </c>
      <c r="N116" s="18">
        <f t="shared" si="21"/>
        <v>0.12696750000000001</v>
      </c>
      <c r="O116" s="16">
        <v>0.77500000000000002</v>
      </c>
      <c r="P116" s="18">
        <f t="shared" si="22"/>
        <v>4.7081250000000008</v>
      </c>
    </row>
    <row r="117" spans="1:16" ht="24">
      <c r="A117" s="12">
        <v>116</v>
      </c>
      <c r="B117" s="2" t="s">
        <v>316</v>
      </c>
      <c r="C117" s="2" t="s">
        <v>315</v>
      </c>
      <c r="D117" s="1" t="s">
        <v>99</v>
      </c>
      <c r="E117" s="13" t="s">
        <v>828</v>
      </c>
      <c r="F117" s="2" t="s">
        <v>322</v>
      </c>
      <c r="G117" s="12" t="s">
        <v>824</v>
      </c>
      <c r="H117" s="14" t="s">
        <v>823</v>
      </c>
      <c r="I117" s="3" t="s">
        <v>323</v>
      </c>
      <c r="J117" s="16">
        <f>JG</f>
        <v>12</v>
      </c>
      <c r="K117" s="13">
        <v>1</v>
      </c>
      <c r="L117" s="16">
        <f t="shared" si="20"/>
        <v>12</v>
      </c>
      <c r="M117" s="16">
        <f>0.084*0.222*0.0055*7850</f>
        <v>0.80512740000000005</v>
      </c>
      <c r="N117" s="18">
        <f t="shared" si="21"/>
        <v>9.6615288000000011E-3</v>
      </c>
      <c r="O117" s="16">
        <f>0.084*2*0.222</f>
        <v>3.7296000000000003E-2</v>
      </c>
      <c r="P117" s="18">
        <f t="shared" si="22"/>
        <v>0.44755200000000006</v>
      </c>
    </row>
    <row r="118" spans="1:16" ht="24">
      <c r="A118" s="12">
        <v>117</v>
      </c>
      <c r="B118" s="2" t="s">
        <v>316</v>
      </c>
      <c r="C118" s="2" t="s">
        <v>315</v>
      </c>
      <c r="D118" s="1" t="s">
        <v>324</v>
      </c>
      <c r="E118" s="13" t="s">
        <v>837</v>
      </c>
      <c r="F118" s="2" t="s">
        <v>325</v>
      </c>
      <c r="G118" s="12" t="s">
        <v>824</v>
      </c>
      <c r="H118" s="14" t="s">
        <v>823</v>
      </c>
      <c r="I118" s="3" t="s">
        <v>326</v>
      </c>
      <c r="J118" s="16">
        <f>JG</f>
        <v>27</v>
      </c>
      <c r="K118" s="13">
        <v>1</v>
      </c>
      <c r="L118" s="16">
        <f t="shared" si="20"/>
        <v>27</v>
      </c>
      <c r="M118" s="16">
        <v>10</v>
      </c>
      <c r="N118" s="18">
        <f t="shared" si="21"/>
        <v>0.27</v>
      </c>
      <c r="O118" s="16">
        <v>0.36499999999999999</v>
      </c>
      <c r="P118" s="18">
        <f t="shared" si="22"/>
        <v>9.8550000000000004</v>
      </c>
    </row>
    <row r="119" spans="1:16" ht="24">
      <c r="A119" s="12">
        <v>118</v>
      </c>
      <c r="B119" s="2" t="s">
        <v>316</v>
      </c>
      <c r="C119" s="2" t="s">
        <v>315</v>
      </c>
      <c r="D119" s="1" t="s">
        <v>76</v>
      </c>
      <c r="E119" s="13" t="s">
        <v>830</v>
      </c>
      <c r="F119" s="2" t="s">
        <v>106</v>
      </c>
      <c r="G119" s="12" t="s">
        <v>824</v>
      </c>
      <c r="H119" s="14" t="s">
        <v>823</v>
      </c>
      <c r="I119" s="3" t="s">
        <v>332</v>
      </c>
      <c r="J119" s="16">
        <f>JG</f>
        <v>2.9732137494637012</v>
      </c>
      <c r="K119" s="13">
        <v>1</v>
      </c>
      <c r="L119" s="16">
        <f t="shared" si="20"/>
        <v>2.9732137494637012</v>
      </c>
      <c r="M119" s="16">
        <v>14.5</v>
      </c>
      <c r="N119" s="18">
        <f t="shared" si="21"/>
        <v>4.3111599367223669E-2</v>
      </c>
      <c r="O119" s="16">
        <v>0.49299999999999999</v>
      </c>
      <c r="P119" s="18">
        <f t="shared" si="22"/>
        <v>1.4657943784856047</v>
      </c>
    </row>
    <row r="120" spans="1:16" ht="24">
      <c r="A120" s="12">
        <v>119</v>
      </c>
      <c r="B120" s="2" t="s">
        <v>316</v>
      </c>
      <c r="C120" s="2" t="s">
        <v>315</v>
      </c>
      <c r="D120" s="1" t="s">
        <v>76</v>
      </c>
      <c r="E120" s="13" t="s">
        <v>830</v>
      </c>
      <c r="F120" s="2" t="s">
        <v>106</v>
      </c>
      <c r="G120" s="12" t="s">
        <v>824</v>
      </c>
      <c r="H120" s="14" t="s">
        <v>823</v>
      </c>
      <c r="I120" s="3" t="s">
        <v>333</v>
      </c>
      <c r="J120" s="16">
        <f>JG</f>
        <v>3.7202150475476548</v>
      </c>
      <c r="K120" s="13">
        <v>1</v>
      </c>
      <c r="L120" s="16">
        <f t="shared" si="20"/>
        <v>3.7202150475476548</v>
      </c>
      <c r="M120" s="16">
        <v>14.5</v>
      </c>
      <c r="N120" s="18">
        <f t="shared" si="21"/>
        <v>5.3943118189440996E-2</v>
      </c>
      <c r="O120" s="16">
        <v>0.49299999999999999</v>
      </c>
      <c r="P120" s="18">
        <f t="shared" si="22"/>
        <v>1.8340660184409938</v>
      </c>
    </row>
    <row r="121" spans="1:16" ht="24">
      <c r="A121" s="12">
        <v>120</v>
      </c>
      <c r="B121" s="2" t="s">
        <v>327</v>
      </c>
      <c r="C121" s="2" t="s">
        <v>315</v>
      </c>
      <c r="D121" s="1" t="s">
        <v>236</v>
      </c>
      <c r="E121" s="13" t="s">
        <v>827</v>
      </c>
      <c r="F121" s="2" t="s">
        <v>237</v>
      </c>
      <c r="G121" s="12" t="s">
        <v>824</v>
      </c>
      <c r="H121" s="14" t="s">
        <v>823</v>
      </c>
      <c r="I121" s="3" t="s">
        <v>328</v>
      </c>
      <c r="J121" s="16">
        <f>JG</f>
        <v>3.4</v>
      </c>
      <c r="K121" s="13">
        <v>2</v>
      </c>
      <c r="L121" s="16">
        <f t="shared" si="20"/>
        <v>6.8</v>
      </c>
      <c r="M121" s="16">
        <v>14</v>
      </c>
      <c r="N121" s="18">
        <f t="shared" si="21"/>
        <v>9.5200000000000007E-2</v>
      </c>
      <c r="O121" s="16">
        <v>0.57599999999999996</v>
      </c>
      <c r="P121" s="18">
        <f t="shared" si="22"/>
        <v>3.9167999999999994</v>
      </c>
    </row>
    <row r="122" spans="1:16" ht="24">
      <c r="A122" s="12">
        <v>121</v>
      </c>
      <c r="B122" s="2" t="s">
        <v>327</v>
      </c>
      <c r="C122" s="2" t="s">
        <v>315</v>
      </c>
      <c r="D122" s="1" t="s">
        <v>99</v>
      </c>
      <c r="E122" s="13" t="s">
        <v>828</v>
      </c>
      <c r="F122" s="2" t="s">
        <v>329</v>
      </c>
      <c r="G122" s="12" t="s">
        <v>824</v>
      </c>
      <c r="H122" s="14" t="s">
        <v>823</v>
      </c>
      <c r="I122" s="3" t="s">
        <v>301</v>
      </c>
      <c r="J122" s="16">
        <f>JG</f>
        <v>8</v>
      </c>
      <c r="K122" s="13">
        <v>1</v>
      </c>
      <c r="L122" s="16">
        <f t="shared" si="20"/>
        <v>8</v>
      </c>
      <c r="M122" s="16">
        <f>0.047*0.184*0.005*7850</f>
        <v>0.33943400000000001</v>
      </c>
      <c r="N122" s="18">
        <f t="shared" si="21"/>
        <v>2.715472E-3</v>
      </c>
      <c r="O122" s="16">
        <f>0.047*2*0.184</f>
        <v>1.7295999999999999E-2</v>
      </c>
      <c r="P122" s="18">
        <f t="shared" si="22"/>
        <v>0.13836799999999999</v>
      </c>
    </row>
    <row r="123" spans="1:16" ht="24">
      <c r="A123" s="12">
        <v>122</v>
      </c>
      <c r="B123" s="2" t="s">
        <v>327</v>
      </c>
      <c r="C123" s="2" t="s">
        <v>315</v>
      </c>
      <c r="D123" s="1" t="s">
        <v>330</v>
      </c>
      <c r="E123" s="13" t="s">
        <v>827</v>
      </c>
      <c r="F123" s="2" t="s">
        <v>29</v>
      </c>
      <c r="G123" s="12" t="s">
        <v>824</v>
      </c>
      <c r="H123" s="14" t="s">
        <v>823</v>
      </c>
      <c r="I123" s="3">
        <v>1.4</v>
      </c>
      <c r="J123" s="16">
        <f>JG</f>
        <v>1.4</v>
      </c>
      <c r="K123" s="13">
        <v>2</v>
      </c>
      <c r="L123" s="16">
        <f t="shared" si="20"/>
        <v>2.8</v>
      </c>
      <c r="M123" s="16">
        <v>20.9</v>
      </c>
      <c r="N123" s="18">
        <f t="shared" si="21"/>
        <v>5.8519999999999989E-2</v>
      </c>
      <c r="O123" s="16">
        <v>0.77500000000000002</v>
      </c>
      <c r="P123" s="18">
        <f t="shared" si="22"/>
        <v>2.17</v>
      </c>
    </row>
    <row r="124" spans="1:16" ht="24">
      <c r="A124" s="12">
        <v>123</v>
      </c>
      <c r="B124" s="2" t="s">
        <v>270</v>
      </c>
      <c r="C124" s="2" t="s">
        <v>315</v>
      </c>
      <c r="D124" s="1" t="s">
        <v>94</v>
      </c>
      <c r="E124" s="13" t="s">
        <v>827</v>
      </c>
      <c r="F124" s="2" t="s">
        <v>89</v>
      </c>
      <c r="G124" s="12" t="s">
        <v>824</v>
      </c>
      <c r="H124" s="14" t="s">
        <v>823</v>
      </c>
      <c r="I124" s="3" t="s">
        <v>334</v>
      </c>
      <c r="J124" s="16">
        <f>JG</f>
        <v>85.3</v>
      </c>
      <c r="K124" s="13">
        <v>1</v>
      </c>
      <c r="L124" s="16">
        <f t="shared" si="20"/>
        <v>85.3</v>
      </c>
      <c r="M124" s="16">
        <v>55.8</v>
      </c>
      <c r="N124" s="18">
        <f t="shared" si="21"/>
        <v>4.7597399999999999</v>
      </c>
      <c r="O124" s="16">
        <v>1.35</v>
      </c>
      <c r="P124" s="18">
        <f t="shared" si="22"/>
        <v>115.155</v>
      </c>
    </row>
    <row r="125" spans="1:16" ht="24">
      <c r="A125" s="12">
        <v>124</v>
      </c>
      <c r="B125" s="2" t="s">
        <v>270</v>
      </c>
      <c r="C125" s="2" t="s">
        <v>315</v>
      </c>
      <c r="D125" s="1" t="s">
        <v>68</v>
      </c>
      <c r="E125" s="13" t="s">
        <v>827</v>
      </c>
      <c r="F125" s="2" t="s">
        <v>89</v>
      </c>
      <c r="G125" s="12" t="s">
        <v>824</v>
      </c>
      <c r="H125" s="14" t="s">
        <v>823</v>
      </c>
      <c r="I125" s="3" t="s">
        <v>335</v>
      </c>
      <c r="J125" s="16">
        <f>JG</f>
        <v>3.25</v>
      </c>
      <c r="K125" s="13">
        <v>3</v>
      </c>
      <c r="L125" s="16">
        <f t="shared" si="20"/>
        <v>9.75</v>
      </c>
      <c r="M125" s="16">
        <v>55.8</v>
      </c>
      <c r="N125" s="18">
        <f t="shared" si="21"/>
        <v>0.54404999999999992</v>
      </c>
      <c r="O125" s="16">
        <v>1.35</v>
      </c>
      <c r="P125" s="18">
        <f t="shared" si="22"/>
        <v>13.162500000000001</v>
      </c>
    </row>
    <row r="126" spans="1:16" ht="24">
      <c r="A126" s="12">
        <v>125</v>
      </c>
      <c r="B126" s="2" t="s">
        <v>270</v>
      </c>
      <c r="C126" s="2" t="s">
        <v>315</v>
      </c>
      <c r="D126" s="1" t="s">
        <v>321</v>
      </c>
      <c r="E126" s="13" t="s">
        <v>827</v>
      </c>
      <c r="F126" s="2" t="s">
        <v>28</v>
      </c>
      <c r="G126" s="12" t="s">
        <v>824</v>
      </c>
      <c r="H126" s="14" t="s">
        <v>823</v>
      </c>
      <c r="I126" s="3" t="s">
        <v>336</v>
      </c>
      <c r="J126" s="16">
        <f>JG</f>
        <v>33</v>
      </c>
      <c r="K126" s="13">
        <v>1</v>
      </c>
      <c r="L126" s="16">
        <f t="shared" si="20"/>
        <v>33</v>
      </c>
      <c r="M126" s="16">
        <v>78.099999999999994</v>
      </c>
      <c r="N126" s="18">
        <f t="shared" si="21"/>
        <v>2.5772999999999997</v>
      </c>
      <c r="O126" s="16">
        <v>1.64</v>
      </c>
      <c r="P126" s="18">
        <f t="shared" si="22"/>
        <v>54.12</v>
      </c>
    </row>
    <row r="127" spans="1:16" ht="24">
      <c r="A127" s="12">
        <v>126</v>
      </c>
      <c r="B127" s="2" t="s">
        <v>270</v>
      </c>
      <c r="C127" s="2" t="s">
        <v>315</v>
      </c>
      <c r="D127" s="1" t="s">
        <v>24</v>
      </c>
      <c r="E127" s="13" t="s">
        <v>827</v>
      </c>
      <c r="F127" s="2" t="s">
        <v>28</v>
      </c>
      <c r="G127" s="12" t="s">
        <v>824</v>
      </c>
      <c r="H127" s="14" t="s">
        <v>823</v>
      </c>
      <c r="I127" s="3" t="s">
        <v>367</v>
      </c>
      <c r="J127" s="16">
        <f>JG</f>
        <v>33.549999999999997</v>
      </c>
      <c r="K127" s="13">
        <v>1</v>
      </c>
      <c r="L127" s="16">
        <f t="shared" si="20"/>
        <v>33.549999999999997</v>
      </c>
      <c r="M127" s="16">
        <v>78.099999999999994</v>
      </c>
      <c r="N127" s="18">
        <f t="shared" si="21"/>
        <v>2.6202549999999998</v>
      </c>
      <c r="O127" s="16">
        <v>1.64</v>
      </c>
      <c r="P127" s="18">
        <f t="shared" si="22"/>
        <v>55.021999999999991</v>
      </c>
    </row>
    <row r="128" spans="1:16" ht="24">
      <c r="A128" s="12">
        <v>127</v>
      </c>
      <c r="B128" s="2" t="s">
        <v>270</v>
      </c>
      <c r="C128" s="2" t="s">
        <v>315</v>
      </c>
      <c r="D128" s="1" t="s">
        <v>342</v>
      </c>
      <c r="E128" s="13" t="s">
        <v>827</v>
      </c>
      <c r="F128" s="2" t="s">
        <v>343</v>
      </c>
      <c r="G128" s="12" t="s">
        <v>824</v>
      </c>
      <c r="H128" s="14" t="s">
        <v>823</v>
      </c>
      <c r="I128" s="3">
        <v>10.5</v>
      </c>
      <c r="J128" s="16">
        <f>JG</f>
        <v>10.5</v>
      </c>
      <c r="K128" s="13">
        <v>2</v>
      </c>
      <c r="L128" s="16">
        <f t="shared" si="20"/>
        <v>21</v>
      </c>
      <c r="M128" s="16">
        <v>105</v>
      </c>
      <c r="N128" s="18">
        <f t="shared" si="21"/>
        <v>2.2050000000000001</v>
      </c>
      <c r="O128" s="16">
        <v>1.94</v>
      </c>
      <c r="P128" s="18">
        <f t="shared" si="22"/>
        <v>40.74</v>
      </c>
    </row>
    <row r="129" spans="1:16" ht="24">
      <c r="A129" s="12">
        <v>128</v>
      </c>
      <c r="B129" s="2" t="s">
        <v>270</v>
      </c>
      <c r="C129" s="2" t="s">
        <v>315</v>
      </c>
      <c r="D129" s="1" t="s">
        <v>236</v>
      </c>
      <c r="E129" s="13" t="s">
        <v>827</v>
      </c>
      <c r="F129" s="2" t="s">
        <v>237</v>
      </c>
      <c r="G129" s="12" t="s">
        <v>824</v>
      </c>
      <c r="H129" s="14" t="s">
        <v>823</v>
      </c>
      <c r="I129" s="3" t="s">
        <v>337</v>
      </c>
      <c r="J129" s="16">
        <f>JG</f>
        <v>47.8</v>
      </c>
      <c r="K129" s="13">
        <v>1</v>
      </c>
      <c r="L129" s="16">
        <f t="shared" si="20"/>
        <v>47.8</v>
      </c>
      <c r="M129" s="16">
        <v>14</v>
      </c>
      <c r="N129" s="18">
        <f t="shared" si="21"/>
        <v>0.66919999999999991</v>
      </c>
      <c r="O129" s="16">
        <v>0.57599999999999996</v>
      </c>
      <c r="P129" s="18">
        <f t="shared" si="22"/>
        <v>27.532799999999995</v>
      </c>
    </row>
    <row r="130" spans="1:16" ht="24">
      <c r="A130" s="12">
        <v>129</v>
      </c>
      <c r="B130" s="2" t="s">
        <v>270</v>
      </c>
      <c r="C130" s="2" t="s">
        <v>315</v>
      </c>
      <c r="D130" s="1" t="s">
        <v>99</v>
      </c>
      <c r="E130" s="13" t="s">
        <v>828</v>
      </c>
      <c r="F130" s="2" t="s">
        <v>244</v>
      </c>
      <c r="G130" s="12" t="s">
        <v>824</v>
      </c>
      <c r="H130" s="14" t="s">
        <v>823</v>
      </c>
      <c r="I130" s="3" t="s">
        <v>338</v>
      </c>
      <c r="J130" s="16">
        <f>JG</f>
        <v>10</v>
      </c>
      <c r="K130" s="13">
        <v>1</v>
      </c>
      <c r="L130" s="16">
        <f t="shared" si="20"/>
        <v>10</v>
      </c>
      <c r="M130" s="16">
        <f>0.12*0.312*0.005*7850</f>
        <v>1.4695199999999999</v>
      </c>
      <c r="N130" s="18">
        <f t="shared" si="21"/>
        <v>1.46952E-2</v>
      </c>
      <c r="O130" s="16">
        <f>0.12*2*0.312</f>
        <v>7.4880000000000002E-2</v>
      </c>
      <c r="P130" s="18">
        <f t="shared" si="22"/>
        <v>0.74880000000000002</v>
      </c>
    </row>
    <row r="131" spans="1:16" ht="24">
      <c r="A131" s="12">
        <v>130</v>
      </c>
      <c r="B131" s="2" t="s">
        <v>270</v>
      </c>
      <c r="C131" s="2" t="s">
        <v>315</v>
      </c>
      <c r="D131" s="1" t="s">
        <v>99</v>
      </c>
      <c r="E131" s="13" t="s">
        <v>828</v>
      </c>
      <c r="F131" s="2" t="s">
        <v>245</v>
      </c>
      <c r="G131" s="12" t="s">
        <v>824</v>
      </c>
      <c r="H131" s="14" t="s">
        <v>823</v>
      </c>
      <c r="I131" s="3" t="s">
        <v>339</v>
      </c>
      <c r="J131" s="16">
        <f>JG</f>
        <v>26</v>
      </c>
      <c r="K131" s="13">
        <v>1</v>
      </c>
      <c r="L131" s="16">
        <f t="shared" si="20"/>
        <v>26</v>
      </c>
      <c r="M131" s="16">
        <f>0.071*0.282*0.005*7850</f>
        <v>0.78586349999999983</v>
      </c>
      <c r="N131" s="18">
        <f t="shared" si="21"/>
        <v>2.0432450999999997E-2</v>
      </c>
      <c r="O131" s="16">
        <f>0.071*2*0.282</f>
        <v>4.0043999999999989E-2</v>
      </c>
      <c r="P131" s="18">
        <f t="shared" si="22"/>
        <v>1.0411439999999996</v>
      </c>
    </row>
    <row r="132" spans="1:16" ht="24">
      <c r="A132" s="12">
        <v>131</v>
      </c>
      <c r="B132" s="2" t="s">
        <v>270</v>
      </c>
      <c r="C132" s="2" t="s">
        <v>315</v>
      </c>
      <c r="D132" s="1" t="s">
        <v>25</v>
      </c>
      <c r="E132" s="13" t="s">
        <v>827</v>
      </c>
      <c r="F132" s="2" t="s">
        <v>29</v>
      </c>
      <c r="G132" s="12" t="s">
        <v>824</v>
      </c>
      <c r="H132" s="14" t="s">
        <v>823</v>
      </c>
      <c r="I132" s="3" t="s">
        <v>340</v>
      </c>
      <c r="J132" s="16">
        <f>JG</f>
        <v>3.3</v>
      </c>
      <c r="K132" s="13">
        <v>9</v>
      </c>
      <c r="L132" s="16">
        <f t="shared" ref="L132:L163" si="23">J132*K132</f>
        <v>29.7</v>
      </c>
      <c r="M132" s="16">
        <v>20.9</v>
      </c>
      <c r="N132" s="18">
        <f t="shared" ref="N132:N163" si="24">L132*M132*0.001</f>
        <v>0.62072999999999989</v>
      </c>
      <c r="O132" s="16">
        <v>0.77500000000000002</v>
      </c>
      <c r="P132" s="18">
        <f t="shared" ref="P132:P163" si="25">O132*L132</f>
        <v>23.017500000000002</v>
      </c>
    </row>
    <row r="133" spans="1:16" ht="24">
      <c r="A133" s="12">
        <v>132</v>
      </c>
      <c r="B133" s="2" t="s">
        <v>270</v>
      </c>
      <c r="C133" s="2" t="s">
        <v>315</v>
      </c>
      <c r="D133" s="1" t="s">
        <v>99</v>
      </c>
      <c r="E133" s="13" t="s">
        <v>828</v>
      </c>
      <c r="F133" s="2" t="s">
        <v>341</v>
      </c>
      <c r="G133" s="12" t="s">
        <v>824</v>
      </c>
      <c r="H133" s="14" t="s">
        <v>823</v>
      </c>
      <c r="I133" s="3" t="s">
        <v>256</v>
      </c>
      <c r="J133" s="16">
        <f>JG</f>
        <v>36</v>
      </c>
      <c r="K133" s="13">
        <v>1</v>
      </c>
      <c r="L133" s="16">
        <f t="shared" si="23"/>
        <v>36</v>
      </c>
      <c r="M133" s="16">
        <f>0.096*0.27*0.0055*7850</f>
        <v>1.1190959999999999</v>
      </c>
      <c r="N133" s="18">
        <f t="shared" si="24"/>
        <v>4.0287455999999992E-2</v>
      </c>
      <c r="O133" s="16">
        <f>0.096*2*0.27</f>
        <v>5.1840000000000004E-2</v>
      </c>
      <c r="P133" s="18">
        <f t="shared" si="25"/>
        <v>1.8662400000000001</v>
      </c>
    </row>
    <row r="134" spans="1:16" ht="24">
      <c r="A134" s="12">
        <v>133</v>
      </c>
      <c r="B134" s="2" t="s">
        <v>270</v>
      </c>
      <c r="C134" s="2" t="s">
        <v>315</v>
      </c>
      <c r="D134" s="1" t="s">
        <v>250</v>
      </c>
      <c r="E134" s="13" t="s">
        <v>827</v>
      </c>
      <c r="F134" s="2" t="s">
        <v>252</v>
      </c>
      <c r="G134" s="12" t="s">
        <v>824</v>
      </c>
      <c r="H134" s="14" t="s">
        <v>823</v>
      </c>
      <c r="I134" s="3" t="s">
        <v>180</v>
      </c>
      <c r="J134" s="16">
        <f>JG</f>
        <v>6.8</v>
      </c>
      <c r="K134" s="13">
        <v>1</v>
      </c>
      <c r="L134" s="16">
        <f t="shared" si="23"/>
        <v>6.8</v>
      </c>
      <c r="M134" s="16">
        <v>36.700000000000003</v>
      </c>
      <c r="N134" s="18">
        <f t="shared" si="24"/>
        <v>0.24956</v>
      </c>
      <c r="O134" s="16">
        <v>1.1599999999999999</v>
      </c>
      <c r="P134" s="18">
        <f t="shared" si="25"/>
        <v>7.887999999999999</v>
      </c>
    </row>
    <row r="135" spans="1:16" ht="24">
      <c r="A135" s="12">
        <v>134</v>
      </c>
      <c r="B135" s="2" t="s">
        <v>270</v>
      </c>
      <c r="C135" s="2" t="s">
        <v>315</v>
      </c>
      <c r="D135" s="1" t="s">
        <v>99</v>
      </c>
      <c r="E135" s="13" t="s">
        <v>828</v>
      </c>
      <c r="F135" s="2" t="s">
        <v>254</v>
      </c>
      <c r="G135" s="12" t="s">
        <v>824</v>
      </c>
      <c r="H135" s="14" t="s">
        <v>823</v>
      </c>
      <c r="I135" s="3" t="s">
        <v>103</v>
      </c>
      <c r="J135" s="16">
        <f>JG</f>
        <v>4</v>
      </c>
      <c r="K135" s="13">
        <v>1</v>
      </c>
      <c r="L135" s="16">
        <f t="shared" si="23"/>
        <v>4</v>
      </c>
      <c r="M135" s="16">
        <f>0.096*0.27*0.0065*7850</f>
        <v>1.3225680000000002</v>
      </c>
      <c r="N135" s="18">
        <f t="shared" si="24"/>
        <v>5.2902720000000012E-3</v>
      </c>
      <c r="O135" s="16">
        <f>0.096*2*0.27</f>
        <v>5.1840000000000004E-2</v>
      </c>
      <c r="P135" s="18">
        <f t="shared" si="25"/>
        <v>0.20736000000000002</v>
      </c>
    </row>
    <row r="136" spans="1:16" ht="24">
      <c r="A136" s="12">
        <v>135</v>
      </c>
      <c r="B136" s="2" t="s">
        <v>270</v>
      </c>
      <c r="C136" s="2" t="s">
        <v>315</v>
      </c>
      <c r="D136" s="1" t="s">
        <v>250</v>
      </c>
      <c r="E136" s="13" t="s">
        <v>827</v>
      </c>
      <c r="F136" s="2" t="s">
        <v>252</v>
      </c>
      <c r="G136" s="12" t="s">
        <v>824</v>
      </c>
      <c r="H136" s="14" t="s">
        <v>823</v>
      </c>
      <c r="I136" s="3" t="s">
        <v>33</v>
      </c>
      <c r="J136" s="16">
        <f>JG</f>
        <v>6.75</v>
      </c>
      <c r="K136" s="13">
        <v>4</v>
      </c>
      <c r="L136" s="16">
        <f t="shared" si="23"/>
        <v>27</v>
      </c>
      <c r="M136" s="16">
        <v>36.700000000000003</v>
      </c>
      <c r="N136" s="18">
        <f t="shared" si="24"/>
        <v>0.99090000000000011</v>
      </c>
      <c r="O136" s="16">
        <v>1.1599999999999999</v>
      </c>
      <c r="P136" s="18">
        <f t="shared" si="25"/>
        <v>31.319999999999997</v>
      </c>
    </row>
    <row r="137" spans="1:16" ht="24">
      <c r="A137" s="12">
        <v>136</v>
      </c>
      <c r="B137" s="2" t="s">
        <v>270</v>
      </c>
      <c r="C137" s="2" t="s">
        <v>315</v>
      </c>
      <c r="D137" s="1" t="s">
        <v>99</v>
      </c>
      <c r="E137" s="13" t="s">
        <v>828</v>
      </c>
      <c r="F137" s="2" t="s">
        <v>296</v>
      </c>
      <c r="G137" s="12" t="s">
        <v>824</v>
      </c>
      <c r="H137" s="14" t="s">
        <v>823</v>
      </c>
      <c r="I137" s="3" t="s">
        <v>344</v>
      </c>
      <c r="J137" s="16">
        <f>JG</f>
        <v>16</v>
      </c>
      <c r="K137" s="13">
        <v>1</v>
      </c>
      <c r="L137" s="16">
        <f t="shared" si="23"/>
        <v>16</v>
      </c>
      <c r="M137" s="16">
        <f>0.12*0.312*0.0065*7850</f>
        <v>1.9103760000000001</v>
      </c>
      <c r="N137" s="18">
        <f t="shared" si="24"/>
        <v>3.0566016000000001E-2</v>
      </c>
      <c r="O137" s="16">
        <f>0.12*2*0.312</f>
        <v>7.4880000000000002E-2</v>
      </c>
      <c r="P137" s="18">
        <f t="shared" si="25"/>
        <v>1.19808</v>
      </c>
    </row>
    <row r="138" spans="1:16" ht="24">
      <c r="A138" s="12">
        <v>137</v>
      </c>
      <c r="B138" s="2" t="s">
        <v>270</v>
      </c>
      <c r="C138" s="2" t="s">
        <v>315</v>
      </c>
      <c r="D138" s="1" t="s">
        <v>250</v>
      </c>
      <c r="E138" s="13" t="s">
        <v>827</v>
      </c>
      <c r="F138" s="2" t="s">
        <v>252</v>
      </c>
      <c r="G138" s="12" t="s">
        <v>824</v>
      </c>
      <c r="H138" s="14" t="s">
        <v>823</v>
      </c>
      <c r="I138" s="3" t="s">
        <v>233</v>
      </c>
      <c r="J138" s="16">
        <f>JG</f>
        <v>6.7</v>
      </c>
      <c r="K138" s="13">
        <v>3</v>
      </c>
      <c r="L138" s="16">
        <f t="shared" si="23"/>
        <v>20.100000000000001</v>
      </c>
      <c r="M138" s="16">
        <v>36.700000000000003</v>
      </c>
      <c r="N138" s="18">
        <f t="shared" si="24"/>
        <v>0.73767000000000005</v>
      </c>
      <c r="O138" s="16">
        <v>1.1599999999999999</v>
      </c>
      <c r="P138" s="18">
        <f t="shared" si="25"/>
        <v>23.315999999999999</v>
      </c>
    </row>
    <row r="139" spans="1:16" ht="24">
      <c r="A139" s="12">
        <v>138</v>
      </c>
      <c r="B139" s="2" t="s">
        <v>270</v>
      </c>
      <c r="C139" s="2" t="s">
        <v>315</v>
      </c>
      <c r="D139" s="1" t="s">
        <v>99</v>
      </c>
      <c r="E139" s="13" t="s">
        <v>828</v>
      </c>
      <c r="F139" s="2" t="s">
        <v>345</v>
      </c>
      <c r="G139" s="12" t="s">
        <v>824</v>
      </c>
      <c r="H139" s="14" t="s">
        <v>823</v>
      </c>
      <c r="I139" s="3" t="s">
        <v>134</v>
      </c>
      <c r="J139" s="16">
        <f>JG</f>
        <v>12</v>
      </c>
      <c r="K139" s="13">
        <v>1</v>
      </c>
      <c r="L139" s="16">
        <f t="shared" si="23"/>
        <v>12</v>
      </c>
      <c r="M139" s="16">
        <f>0.145*0.358*0.0065*7850</f>
        <v>2.6487077499999994</v>
      </c>
      <c r="N139" s="18">
        <f t="shared" si="24"/>
        <v>3.178449299999999E-2</v>
      </c>
      <c r="O139" s="16">
        <f>0.145*2*0.358</f>
        <v>0.10381999999999998</v>
      </c>
      <c r="P139" s="18">
        <f t="shared" si="25"/>
        <v>1.2458399999999998</v>
      </c>
    </row>
    <row r="140" spans="1:16" ht="24">
      <c r="A140" s="12">
        <v>139</v>
      </c>
      <c r="B140" s="2" t="s">
        <v>270</v>
      </c>
      <c r="C140" s="2" t="s">
        <v>315</v>
      </c>
      <c r="D140" s="1" t="s">
        <v>250</v>
      </c>
      <c r="E140" s="13" t="s">
        <v>827</v>
      </c>
      <c r="F140" s="2" t="s">
        <v>252</v>
      </c>
      <c r="G140" s="12" t="s">
        <v>824</v>
      </c>
      <c r="H140" s="14" t="s">
        <v>823</v>
      </c>
      <c r="I140" s="3" t="s">
        <v>180</v>
      </c>
      <c r="J140" s="16">
        <f>JG</f>
        <v>6.8</v>
      </c>
      <c r="K140" s="13">
        <v>5</v>
      </c>
      <c r="L140" s="16">
        <f t="shared" si="23"/>
        <v>34</v>
      </c>
      <c r="M140" s="16">
        <v>36.700000000000003</v>
      </c>
      <c r="N140" s="18">
        <f t="shared" si="24"/>
        <v>1.2478000000000002</v>
      </c>
      <c r="O140" s="16">
        <v>1.1599999999999999</v>
      </c>
      <c r="P140" s="18">
        <f t="shared" si="25"/>
        <v>39.44</v>
      </c>
    </row>
    <row r="141" spans="1:16" ht="24">
      <c r="A141" s="12">
        <v>140</v>
      </c>
      <c r="B141" s="2" t="s">
        <v>270</v>
      </c>
      <c r="C141" s="2" t="s">
        <v>315</v>
      </c>
      <c r="D141" s="1" t="s">
        <v>99</v>
      </c>
      <c r="E141" s="13" t="s">
        <v>828</v>
      </c>
      <c r="F141" s="2" t="s">
        <v>258</v>
      </c>
      <c r="G141" s="12" t="s">
        <v>824</v>
      </c>
      <c r="H141" s="14" t="s">
        <v>823</v>
      </c>
      <c r="I141" s="3" t="s">
        <v>259</v>
      </c>
      <c r="J141" s="16">
        <f>JG</f>
        <v>20</v>
      </c>
      <c r="K141" s="13">
        <v>1</v>
      </c>
      <c r="L141" s="16">
        <f t="shared" si="23"/>
        <v>20</v>
      </c>
      <c r="M141" s="16">
        <f>0.096*0.374*0.0065*7850</f>
        <v>1.8320015999999999</v>
      </c>
      <c r="N141" s="18">
        <f t="shared" si="24"/>
        <v>3.6640031999999996E-2</v>
      </c>
      <c r="O141" s="16">
        <f>0.096*2*0.374</f>
        <v>7.1807999999999997E-2</v>
      </c>
      <c r="P141" s="18">
        <f t="shared" si="25"/>
        <v>1.4361599999999999</v>
      </c>
    </row>
    <row r="142" spans="1:16" ht="24">
      <c r="A142" s="12">
        <v>141</v>
      </c>
      <c r="B142" s="2" t="s">
        <v>270</v>
      </c>
      <c r="C142" s="2" t="s">
        <v>315</v>
      </c>
      <c r="D142" s="1" t="s">
        <v>76</v>
      </c>
      <c r="E142" s="13" t="s">
        <v>830</v>
      </c>
      <c r="F142" s="2" t="s">
        <v>106</v>
      </c>
      <c r="G142" s="12" t="s">
        <v>824</v>
      </c>
      <c r="H142" s="14" t="s">
        <v>823</v>
      </c>
      <c r="I142" s="3" t="s">
        <v>348</v>
      </c>
      <c r="J142" s="16">
        <f>JG</f>
        <v>4.6097722286464435</v>
      </c>
      <c r="K142" s="13">
        <v>16</v>
      </c>
      <c r="L142" s="16">
        <f t="shared" si="23"/>
        <v>73.756355658343097</v>
      </c>
      <c r="M142" s="16">
        <v>14.5</v>
      </c>
      <c r="N142" s="18">
        <f t="shared" si="24"/>
        <v>1.0694671570459751</v>
      </c>
      <c r="O142" s="16">
        <v>0.49299999999999999</v>
      </c>
      <c r="P142" s="18">
        <f t="shared" si="25"/>
        <v>36.361883339563143</v>
      </c>
    </row>
    <row r="143" spans="1:16" ht="24">
      <c r="A143" s="12">
        <v>142</v>
      </c>
      <c r="B143" s="2" t="s">
        <v>270</v>
      </c>
      <c r="C143" s="2" t="s">
        <v>315</v>
      </c>
      <c r="D143" s="1" t="s">
        <v>76</v>
      </c>
      <c r="E143" s="13" t="s">
        <v>830</v>
      </c>
      <c r="F143" s="2" t="s">
        <v>106</v>
      </c>
      <c r="G143" s="12" t="s">
        <v>824</v>
      </c>
      <c r="H143" s="14" t="s">
        <v>823</v>
      </c>
      <c r="I143" s="3" t="s">
        <v>349</v>
      </c>
      <c r="J143" s="16">
        <f>JG</f>
        <v>4.375</v>
      </c>
      <c r="K143" s="13">
        <v>8</v>
      </c>
      <c r="L143" s="16">
        <f t="shared" si="23"/>
        <v>35</v>
      </c>
      <c r="M143" s="16">
        <v>14.5</v>
      </c>
      <c r="N143" s="18">
        <f t="shared" si="24"/>
        <v>0.50750000000000006</v>
      </c>
      <c r="O143" s="16">
        <v>0.49299999999999999</v>
      </c>
      <c r="P143" s="18">
        <f t="shared" si="25"/>
        <v>17.254999999999999</v>
      </c>
    </row>
    <row r="144" spans="1:16" ht="24">
      <c r="A144" s="12">
        <v>143</v>
      </c>
      <c r="B144" s="2" t="s">
        <v>270</v>
      </c>
      <c r="C144" s="2" t="s">
        <v>315</v>
      </c>
      <c r="D144" s="1" t="s">
        <v>76</v>
      </c>
      <c r="E144" s="13" t="s">
        <v>830</v>
      </c>
      <c r="F144" s="2" t="s">
        <v>106</v>
      </c>
      <c r="G144" s="12" t="s">
        <v>824</v>
      </c>
      <c r="H144" s="14" t="s">
        <v>823</v>
      </c>
      <c r="I144" s="3" t="s">
        <v>350</v>
      </c>
      <c r="J144" s="16">
        <f>JG</f>
        <v>4.6097722286464435</v>
      </c>
      <c r="K144" s="13">
        <v>6</v>
      </c>
      <c r="L144" s="16">
        <f t="shared" si="23"/>
        <v>27.658633371878661</v>
      </c>
      <c r="M144" s="16">
        <v>14.5</v>
      </c>
      <c r="N144" s="18">
        <f t="shared" si="24"/>
        <v>0.40105018389224056</v>
      </c>
      <c r="O144" s="16">
        <v>0.49299999999999999</v>
      </c>
      <c r="P144" s="18">
        <f t="shared" si="25"/>
        <v>13.635706252336179</v>
      </c>
    </row>
    <row r="145" spans="1:16" ht="24">
      <c r="A145" s="12">
        <v>144</v>
      </c>
      <c r="B145" s="2" t="s">
        <v>270</v>
      </c>
      <c r="C145" s="2" t="s">
        <v>315</v>
      </c>
      <c r="D145" s="1" t="s">
        <v>76</v>
      </c>
      <c r="E145" s="13" t="s">
        <v>830</v>
      </c>
      <c r="F145" s="2" t="s">
        <v>106</v>
      </c>
      <c r="G145" s="12" t="s">
        <v>824</v>
      </c>
      <c r="H145" s="14" t="s">
        <v>823</v>
      </c>
      <c r="I145" s="3" t="s">
        <v>351</v>
      </c>
      <c r="J145" s="16">
        <f>JG</f>
        <v>4.6920810947808649</v>
      </c>
      <c r="K145" s="13">
        <v>2</v>
      </c>
      <c r="L145" s="16">
        <f t="shared" si="23"/>
        <v>9.3841621895617298</v>
      </c>
      <c r="M145" s="16">
        <v>14.5</v>
      </c>
      <c r="N145" s="18">
        <f t="shared" si="24"/>
        <v>0.1360703517486451</v>
      </c>
      <c r="O145" s="16">
        <v>0.49299999999999999</v>
      </c>
      <c r="P145" s="18">
        <f t="shared" si="25"/>
        <v>4.6263919594539331</v>
      </c>
    </row>
    <row r="146" spans="1:16" ht="24">
      <c r="A146" s="12">
        <v>145</v>
      </c>
      <c r="B146" s="2" t="s">
        <v>270</v>
      </c>
      <c r="C146" s="2" t="s">
        <v>315</v>
      </c>
      <c r="D146" s="1" t="s">
        <v>76</v>
      </c>
      <c r="E146" s="13" t="s">
        <v>830</v>
      </c>
      <c r="F146" s="2" t="s">
        <v>106</v>
      </c>
      <c r="G146" s="12" t="s">
        <v>824</v>
      </c>
      <c r="H146" s="14" t="s">
        <v>823</v>
      </c>
      <c r="I146" s="3" t="s">
        <v>314</v>
      </c>
      <c r="J146" s="16">
        <f>JG</f>
        <v>4.6754678910243834</v>
      </c>
      <c r="K146" s="13">
        <v>4</v>
      </c>
      <c r="L146" s="16">
        <f t="shared" si="23"/>
        <v>18.701871564097534</v>
      </c>
      <c r="M146" s="16">
        <v>14.5</v>
      </c>
      <c r="N146" s="18">
        <f t="shared" si="24"/>
        <v>0.2711771376794142</v>
      </c>
      <c r="O146" s="16">
        <v>0.49299999999999999</v>
      </c>
      <c r="P146" s="18">
        <f t="shared" si="25"/>
        <v>9.2200226811000832</v>
      </c>
    </row>
    <row r="147" spans="1:16" ht="24">
      <c r="A147" s="12">
        <v>146</v>
      </c>
      <c r="B147" s="2" t="s">
        <v>352</v>
      </c>
      <c r="C147" s="2" t="s">
        <v>315</v>
      </c>
      <c r="D147" s="1" t="s">
        <v>94</v>
      </c>
      <c r="E147" s="13" t="s">
        <v>827</v>
      </c>
      <c r="F147" s="2" t="s">
        <v>89</v>
      </c>
      <c r="G147" s="12" t="s">
        <v>824</v>
      </c>
      <c r="H147" s="14" t="s">
        <v>823</v>
      </c>
      <c r="I147" s="3">
        <v>6</v>
      </c>
      <c r="J147" s="16">
        <f>JG</f>
        <v>6</v>
      </c>
      <c r="K147" s="13">
        <v>2</v>
      </c>
      <c r="L147" s="16">
        <f t="shared" si="23"/>
        <v>12</v>
      </c>
      <c r="M147" s="16">
        <v>55.8</v>
      </c>
      <c r="N147" s="18">
        <f t="shared" si="24"/>
        <v>0.66959999999999997</v>
      </c>
      <c r="O147" s="16">
        <v>1.35</v>
      </c>
      <c r="P147" s="18">
        <f t="shared" si="25"/>
        <v>16.200000000000003</v>
      </c>
    </row>
    <row r="148" spans="1:16" ht="24">
      <c r="A148" s="12">
        <v>147</v>
      </c>
      <c r="B148" s="2" t="s">
        <v>352</v>
      </c>
      <c r="C148" s="2" t="s">
        <v>315</v>
      </c>
      <c r="D148" s="1" t="s">
        <v>353</v>
      </c>
      <c r="E148" s="13" t="s">
        <v>827</v>
      </c>
      <c r="F148" s="2" t="s">
        <v>89</v>
      </c>
      <c r="G148" s="12" t="s">
        <v>824</v>
      </c>
      <c r="H148" s="14" t="s">
        <v>823</v>
      </c>
      <c r="I148" s="3" t="s">
        <v>368</v>
      </c>
      <c r="J148" s="16">
        <f>JG</f>
        <v>9.6999999999999993</v>
      </c>
      <c r="K148" s="13">
        <v>1</v>
      </c>
      <c r="L148" s="16">
        <f t="shared" si="23"/>
        <v>9.6999999999999993</v>
      </c>
      <c r="M148" s="16">
        <v>55.8</v>
      </c>
      <c r="N148" s="18">
        <f t="shared" si="24"/>
        <v>0.54125999999999985</v>
      </c>
      <c r="O148" s="16">
        <v>1.35</v>
      </c>
      <c r="P148" s="18">
        <f t="shared" si="25"/>
        <v>13.095000000000001</v>
      </c>
    </row>
    <row r="149" spans="1:16" ht="24">
      <c r="A149" s="12">
        <v>148</v>
      </c>
      <c r="B149" s="2" t="s">
        <v>352</v>
      </c>
      <c r="C149" s="2" t="s">
        <v>315</v>
      </c>
      <c r="D149" s="1" t="s">
        <v>26</v>
      </c>
      <c r="E149" s="13" t="s">
        <v>827</v>
      </c>
      <c r="F149" s="2" t="s">
        <v>30</v>
      </c>
      <c r="G149" s="12" t="s">
        <v>824</v>
      </c>
      <c r="H149" s="14" t="s">
        <v>823</v>
      </c>
      <c r="I149" s="3" t="s">
        <v>340</v>
      </c>
      <c r="J149" s="16">
        <f>JG</f>
        <v>3.3</v>
      </c>
      <c r="K149" s="13">
        <v>1</v>
      </c>
      <c r="L149" s="16">
        <f t="shared" si="23"/>
        <v>3.3</v>
      </c>
      <c r="M149" s="16">
        <v>29</v>
      </c>
      <c r="N149" s="18">
        <f t="shared" si="24"/>
        <v>9.5699999999999993E-2</v>
      </c>
      <c r="O149" s="16">
        <v>0.97399999999999998</v>
      </c>
      <c r="P149" s="18">
        <f t="shared" si="25"/>
        <v>3.2141999999999999</v>
      </c>
    </row>
    <row r="150" spans="1:16" ht="24">
      <c r="A150" s="12">
        <v>149</v>
      </c>
      <c r="B150" s="2" t="s">
        <v>352</v>
      </c>
      <c r="C150" s="2" t="s">
        <v>315</v>
      </c>
      <c r="D150" s="1" t="s">
        <v>354</v>
      </c>
      <c r="E150" s="13" t="s">
        <v>828</v>
      </c>
      <c r="F150" s="2" t="s">
        <v>355</v>
      </c>
      <c r="G150" s="12" t="s">
        <v>824</v>
      </c>
      <c r="H150" s="14" t="s">
        <v>823</v>
      </c>
      <c r="I150" s="3" t="s">
        <v>103</v>
      </c>
      <c r="J150" s="16">
        <f>JG</f>
        <v>4</v>
      </c>
      <c r="K150" s="13">
        <v>1</v>
      </c>
      <c r="L150" s="16">
        <f t="shared" si="23"/>
        <v>4</v>
      </c>
      <c r="M150" s="16">
        <f>0.096*0.27*0.006*7850</f>
        <v>1.2208320000000001</v>
      </c>
      <c r="N150" s="18">
        <f t="shared" si="24"/>
        <v>4.883328000000001E-3</v>
      </c>
      <c r="O150" s="16">
        <f>0.096*2*0.27</f>
        <v>5.1840000000000004E-2</v>
      </c>
      <c r="P150" s="18">
        <f t="shared" si="25"/>
        <v>0.20736000000000002</v>
      </c>
    </row>
    <row r="151" spans="1:16" ht="24">
      <c r="A151" s="12">
        <v>150</v>
      </c>
      <c r="B151" s="2" t="s">
        <v>352</v>
      </c>
      <c r="C151" s="2" t="s">
        <v>315</v>
      </c>
      <c r="D151" s="1" t="s">
        <v>26</v>
      </c>
      <c r="E151" s="13" t="s">
        <v>827</v>
      </c>
      <c r="F151" s="2" t="s">
        <v>30</v>
      </c>
      <c r="G151" s="12" t="s">
        <v>824</v>
      </c>
      <c r="H151" s="14" t="s">
        <v>823</v>
      </c>
      <c r="I151" s="3" t="s">
        <v>356</v>
      </c>
      <c r="J151" s="16">
        <f>JG</f>
        <v>3.35</v>
      </c>
      <c r="K151" s="13">
        <v>7</v>
      </c>
      <c r="L151" s="16">
        <f t="shared" si="23"/>
        <v>23.45</v>
      </c>
      <c r="M151" s="16">
        <v>29</v>
      </c>
      <c r="N151" s="18">
        <f t="shared" si="24"/>
        <v>0.68004999999999993</v>
      </c>
      <c r="O151" s="16">
        <v>0.97399999999999998</v>
      </c>
      <c r="P151" s="18">
        <f t="shared" si="25"/>
        <v>22.840299999999999</v>
      </c>
    </row>
    <row r="152" spans="1:16" ht="24">
      <c r="A152" s="12">
        <v>151</v>
      </c>
      <c r="B152" s="2" t="s">
        <v>352</v>
      </c>
      <c r="C152" s="2" t="s">
        <v>315</v>
      </c>
      <c r="D152" s="1" t="s">
        <v>354</v>
      </c>
      <c r="E152" s="13" t="s">
        <v>828</v>
      </c>
      <c r="F152" s="2" t="s">
        <v>357</v>
      </c>
      <c r="G152" s="12" t="s">
        <v>824</v>
      </c>
      <c r="H152" s="14" t="s">
        <v>823</v>
      </c>
      <c r="I152" s="3" t="s">
        <v>358</v>
      </c>
      <c r="J152" s="16">
        <f>JG</f>
        <v>28</v>
      </c>
      <c r="K152" s="13">
        <v>1</v>
      </c>
      <c r="L152" s="16">
        <f t="shared" si="23"/>
        <v>28</v>
      </c>
      <c r="M152" s="16">
        <f>0.071*0.282*0.006*7850</f>
        <v>0.94303619999999977</v>
      </c>
      <c r="N152" s="18">
        <f t="shared" si="24"/>
        <v>2.6405013599999992E-2</v>
      </c>
      <c r="O152" s="16">
        <f>0.071*2*0.282</f>
        <v>4.0043999999999989E-2</v>
      </c>
      <c r="P152" s="18">
        <f t="shared" si="25"/>
        <v>1.1212319999999998</v>
      </c>
    </row>
    <row r="153" spans="1:16" ht="24">
      <c r="A153" s="12">
        <v>152</v>
      </c>
      <c r="B153" s="2" t="s">
        <v>352</v>
      </c>
      <c r="C153" s="2" t="s">
        <v>315</v>
      </c>
      <c r="D153" s="1" t="s">
        <v>359</v>
      </c>
      <c r="E153" s="13" t="s">
        <v>827</v>
      </c>
      <c r="F153" s="2" t="s">
        <v>252</v>
      </c>
      <c r="G153" s="12" t="s">
        <v>824</v>
      </c>
      <c r="H153" s="14" t="s">
        <v>823</v>
      </c>
      <c r="I153" s="3">
        <v>19</v>
      </c>
      <c r="J153" s="16">
        <f>JG</f>
        <v>19</v>
      </c>
      <c r="K153" s="13">
        <v>2</v>
      </c>
      <c r="L153" s="16">
        <f t="shared" si="23"/>
        <v>38</v>
      </c>
      <c r="M153" s="16">
        <v>36.700000000000003</v>
      </c>
      <c r="N153" s="18">
        <f t="shared" si="24"/>
        <v>1.3946000000000001</v>
      </c>
      <c r="O153" s="16">
        <v>1.1599999999999999</v>
      </c>
      <c r="P153" s="18">
        <f t="shared" si="25"/>
        <v>44.08</v>
      </c>
    </row>
    <row r="154" spans="1:16" ht="24">
      <c r="A154" s="12">
        <v>153</v>
      </c>
      <c r="B154" s="2" t="s">
        <v>352</v>
      </c>
      <c r="C154" s="2" t="s">
        <v>315</v>
      </c>
      <c r="D154" s="1" t="s">
        <v>360</v>
      </c>
      <c r="E154" s="13" t="s">
        <v>838</v>
      </c>
      <c r="F154" s="2" t="s">
        <v>361</v>
      </c>
      <c r="G154" s="12" t="s">
        <v>824</v>
      </c>
      <c r="H154" s="14" t="s">
        <v>823</v>
      </c>
      <c r="I154" s="3" t="s">
        <v>362</v>
      </c>
      <c r="J154" s="16">
        <f>JG</f>
        <v>2.9501059303014867</v>
      </c>
      <c r="K154" s="13">
        <v>16</v>
      </c>
      <c r="L154" s="16">
        <f t="shared" si="23"/>
        <v>47.201694884823787</v>
      </c>
      <c r="M154" s="16">
        <v>10.9</v>
      </c>
      <c r="N154" s="18">
        <f t="shared" si="24"/>
        <v>0.51449847424457928</v>
      </c>
      <c r="O154" s="16">
        <v>0.35299999999999998</v>
      </c>
      <c r="P154" s="18">
        <f t="shared" si="25"/>
        <v>16.662198294342797</v>
      </c>
    </row>
    <row r="155" spans="1:16" ht="24">
      <c r="A155" s="12">
        <v>154</v>
      </c>
      <c r="B155" s="2" t="s">
        <v>352</v>
      </c>
      <c r="C155" s="2" t="s">
        <v>363</v>
      </c>
      <c r="D155" s="1" t="s">
        <v>228</v>
      </c>
      <c r="E155" s="13" t="s">
        <v>827</v>
      </c>
      <c r="F155" s="2" t="s">
        <v>226</v>
      </c>
      <c r="G155" s="12" t="s">
        <v>824</v>
      </c>
      <c r="H155" s="14" t="s">
        <v>823</v>
      </c>
      <c r="I155" s="3" t="s">
        <v>369</v>
      </c>
      <c r="J155" s="16">
        <f>JG</f>
        <v>3.3049999999999997</v>
      </c>
      <c r="K155" s="13">
        <v>1</v>
      </c>
      <c r="L155" s="16">
        <f t="shared" si="23"/>
        <v>3.3049999999999997</v>
      </c>
      <c r="M155" s="16">
        <v>29.9</v>
      </c>
      <c r="N155" s="18">
        <f t="shared" si="24"/>
        <v>9.8819499999999991E-2</v>
      </c>
      <c r="O155" s="16">
        <v>0.96199999999999997</v>
      </c>
      <c r="P155" s="18">
        <f t="shared" si="25"/>
        <v>3.1794099999999994</v>
      </c>
    </row>
    <row r="156" spans="1:16" ht="24">
      <c r="A156" s="12">
        <v>155</v>
      </c>
      <c r="B156" s="2" t="s">
        <v>352</v>
      </c>
      <c r="C156" s="2" t="s">
        <v>363</v>
      </c>
      <c r="D156" s="1" t="s">
        <v>370</v>
      </c>
      <c r="E156" s="13" t="s">
        <v>828</v>
      </c>
      <c r="F156" s="2" t="s">
        <v>230</v>
      </c>
      <c r="G156" s="12" t="s">
        <v>824</v>
      </c>
      <c r="H156" s="14" t="s">
        <v>823</v>
      </c>
      <c r="I156" s="3" t="s">
        <v>371</v>
      </c>
      <c r="J156" s="16">
        <f>JG</f>
        <v>2</v>
      </c>
      <c r="K156" s="13">
        <v>1</v>
      </c>
      <c r="L156" s="16">
        <f t="shared" si="23"/>
        <v>2</v>
      </c>
      <c r="M156" s="16">
        <f>0.145*0.358*0.006*7850</f>
        <v>2.4449609999999997</v>
      </c>
      <c r="N156" s="18">
        <f t="shared" si="24"/>
        <v>4.8899219999999997E-3</v>
      </c>
      <c r="O156" s="16">
        <f>0.145*2*0.358</f>
        <v>0.10381999999999998</v>
      </c>
      <c r="P156" s="18">
        <f t="shared" si="25"/>
        <v>0.20763999999999996</v>
      </c>
    </row>
    <row r="157" spans="1:16" ht="24">
      <c r="A157" s="12">
        <v>156</v>
      </c>
      <c r="B157" s="2" t="s">
        <v>352</v>
      </c>
      <c r="C157" s="2" t="s">
        <v>363</v>
      </c>
      <c r="D157" s="1" t="s">
        <v>321</v>
      </c>
      <c r="E157" s="13" t="s">
        <v>827</v>
      </c>
      <c r="F157" s="2" t="s">
        <v>372</v>
      </c>
      <c r="G157" s="12" t="s">
        <v>824</v>
      </c>
      <c r="H157" s="14" t="s">
        <v>823</v>
      </c>
      <c r="I157" s="3">
        <v>7</v>
      </c>
      <c r="J157" s="16">
        <f>JG</f>
        <v>7</v>
      </c>
      <c r="K157" s="13">
        <v>2</v>
      </c>
      <c r="L157" s="16">
        <f t="shared" si="23"/>
        <v>14</v>
      </c>
      <c r="M157" s="16">
        <v>78.099999999999994</v>
      </c>
      <c r="N157" s="18">
        <f t="shared" si="24"/>
        <v>1.0933999999999999</v>
      </c>
      <c r="O157" s="16">
        <v>1.64</v>
      </c>
      <c r="P157" s="18">
        <f t="shared" si="25"/>
        <v>22.959999999999997</v>
      </c>
    </row>
    <row r="158" spans="1:16" ht="24">
      <c r="A158" s="12">
        <v>157</v>
      </c>
      <c r="B158" s="2" t="s">
        <v>352</v>
      </c>
      <c r="C158" s="2" t="s">
        <v>363</v>
      </c>
      <c r="D158" s="1" t="s">
        <v>373</v>
      </c>
      <c r="E158" s="13" t="s">
        <v>827</v>
      </c>
      <c r="F158" s="2" t="s">
        <v>374</v>
      </c>
      <c r="G158" s="12" t="s">
        <v>824</v>
      </c>
      <c r="H158" s="14" t="s">
        <v>823</v>
      </c>
      <c r="I158" s="3" t="s">
        <v>375</v>
      </c>
      <c r="J158" s="16">
        <f>JG</f>
        <v>113</v>
      </c>
      <c r="K158" s="13">
        <v>1</v>
      </c>
      <c r="L158" s="16">
        <f t="shared" si="23"/>
        <v>113</v>
      </c>
      <c r="M158" s="16">
        <v>105</v>
      </c>
      <c r="N158" s="18">
        <f t="shared" si="24"/>
        <v>11.865</v>
      </c>
      <c r="O158" s="16">
        <v>1.94</v>
      </c>
      <c r="P158" s="18">
        <f t="shared" si="25"/>
        <v>219.22</v>
      </c>
    </row>
    <row r="159" spans="1:16" ht="24">
      <c r="A159" s="12">
        <v>158</v>
      </c>
      <c r="B159" s="2" t="s">
        <v>352</v>
      </c>
      <c r="C159" s="2" t="s">
        <v>363</v>
      </c>
      <c r="D159" s="1" t="s">
        <v>376</v>
      </c>
      <c r="E159" s="13" t="s">
        <v>827</v>
      </c>
      <c r="F159" s="2" t="s">
        <v>374</v>
      </c>
      <c r="G159" s="12" t="s">
        <v>824</v>
      </c>
      <c r="H159" s="14" t="s">
        <v>823</v>
      </c>
      <c r="I159" s="3" t="s">
        <v>377</v>
      </c>
      <c r="J159" s="16">
        <f>JG</f>
        <v>94.69</v>
      </c>
      <c r="K159" s="13">
        <v>1</v>
      </c>
      <c r="L159" s="16">
        <f t="shared" si="23"/>
        <v>94.69</v>
      </c>
      <c r="M159" s="16">
        <v>105</v>
      </c>
      <c r="N159" s="18">
        <f t="shared" si="24"/>
        <v>9.9424499999999991</v>
      </c>
      <c r="O159" s="16">
        <v>1.94</v>
      </c>
      <c r="P159" s="18">
        <f t="shared" si="25"/>
        <v>183.6986</v>
      </c>
    </row>
    <row r="160" spans="1:16" ht="24">
      <c r="A160" s="12">
        <v>159</v>
      </c>
      <c r="B160" s="2" t="s">
        <v>352</v>
      </c>
      <c r="C160" s="2" t="s">
        <v>363</v>
      </c>
      <c r="D160" s="1" t="s">
        <v>236</v>
      </c>
      <c r="E160" s="13" t="s">
        <v>827</v>
      </c>
      <c r="F160" s="2" t="s">
        <v>237</v>
      </c>
      <c r="G160" s="12" t="s">
        <v>824</v>
      </c>
      <c r="H160" s="14" t="s">
        <v>823</v>
      </c>
      <c r="I160" s="3" t="s">
        <v>378</v>
      </c>
      <c r="J160" s="16">
        <f>JG</f>
        <v>5.15</v>
      </c>
      <c r="K160" s="13">
        <v>1</v>
      </c>
      <c r="L160" s="16">
        <f t="shared" si="23"/>
        <v>5.15</v>
      </c>
      <c r="M160" s="16">
        <v>14</v>
      </c>
      <c r="N160" s="18">
        <f t="shared" si="24"/>
        <v>7.2100000000000011E-2</v>
      </c>
      <c r="O160" s="16">
        <v>0.57599999999999996</v>
      </c>
      <c r="P160" s="18">
        <f t="shared" si="25"/>
        <v>2.9664000000000001</v>
      </c>
    </row>
    <row r="161" spans="1:16" ht="24">
      <c r="A161" s="12">
        <v>160</v>
      </c>
      <c r="B161" s="2" t="s">
        <v>352</v>
      </c>
      <c r="C161" s="2" t="s">
        <v>363</v>
      </c>
      <c r="D161" s="1" t="s">
        <v>99</v>
      </c>
      <c r="E161" s="13" t="s">
        <v>828</v>
      </c>
      <c r="F161" s="2" t="s">
        <v>239</v>
      </c>
      <c r="G161" s="12" t="s">
        <v>824</v>
      </c>
      <c r="H161" s="14" t="s">
        <v>823</v>
      </c>
      <c r="I161" s="3" t="s">
        <v>301</v>
      </c>
      <c r="J161" s="16">
        <f>JG</f>
        <v>8</v>
      </c>
      <c r="K161" s="13">
        <v>1</v>
      </c>
      <c r="L161" s="16">
        <f t="shared" si="23"/>
        <v>8</v>
      </c>
      <c r="M161" s="16">
        <f>0.072*0.176*0.005*7850</f>
        <v>0.49737599999999993</v>
      </c>
      <c r="N161" s="18">
        <f t="shared" si="24"/>
        <v>3.9790079999999992E-3</v>
      </c>
      <c r="O161" s="16">
        <f>0.072*2*0.176</f>
        <v>2.5343999999999995E-2</v>
      </c>
      <c r="P161" s="18">
        <f t="shared" si="25"/>
        <v>0.20275199999999996</v>
      </c>
    </row>
    <row r="162" spans="1:16" ht="24">
      <c r="A162" s="12">
        <v>161</v>
      </c>
      <c r="B162" s="2" t="s">
        <v>352</v>
      </c>
      <c r="C162" s="2" t="s">
        <v>363</v>
      </c>
      <c r="D162" s="1" t="s">
        <v>25</v>
      </c>
      <c r="E162" s="13" t="s">
        <v>827</v>
      </c>
      <c r="F162" s="2" t="s">
        <v>29</v>
      </c>
      <c r="G162" s="12" t="s">
        <v>824</v>
      </c>
      <c r="H162" s="14" t="s">
        <v>823</v>
      </c>
      <c r="I162" s="3" t="s">
        <v>379</v>
      </c>
      <c r="J162" s="16">
        <f>JG</f>
        <v>80.974999999999994</v>
      </c>
      <c r="K162" s="13">
        <v>1</v>
      </c>
      <c r="L162" s="16">
        <f t="shared" si="23"/>
        <v>80.974999999999994</v>
      </c>
      <c r="M162" s="16">
        <v>20.9</v>
      </c>
      <c r="N162" s="18">
        <f t="shared" si="24"/>
        <v>1.6923774999999999</v>
      </c>
      <c r="O162" s="16">
        <v>0.77500000000000002</v>
      </c>
      <c r="P162" s="18">
        <f t="shared" si="25"/>
        <v>62.755624999999995</v>
      </c>
    </row>
    <row r="163" spans="1:16" ht="24">
      <c r="A163" s="12">
        <v>162</v>
      </c>
      <c r="B163" s="2" t="s">
        <v>352</v>
      </c>
      <c r="C163" s="2" t="s">
        <v>363</v>
      </c>
      <c r="D163" s="1" t="s">
        <v>380</v>
      </c>
      <c r="E163" s="13" t="s">
        <v>828</v>
      </c>
      <c r="F163" s="2" t="s">
        <v>381</v>
      </c>
      <c r="G163" s="12" t="s">
        <v>824</v>
      </c>
      <c r="H163" s="14" t="s">
        <v>823</v>
      </c>
      <c r="I163" s="3" t="s">
        <v>382</v>
      </c>
      <c r="J163" s="16">
        <f>JG</f>
        <v>22</v>
      </c>
      <c r="K163" s="13">
        <v>1</v>
      </c>
      <c r="L163" s="16">
        <f t="shared" si="23"/>
        <v>22</v>
      </c>
      <c r="M163" s="16">
        <f>0.145*0.358*0.0055*7850</f>
        <v>2.2412142499999992</v>
      </c>
      <c r="N163" s="18">
        <f t="shared" si="24"/>
        <v>4.9306713499999981E-2</v>
      </c>
      <c r="O163" s="16">
        <f>0.145*2*0.358</f>
        <v>0.10381999999999998</v>
      </c>
      <c r="P163" s="18">
        <f t="shared" si="25"/>
        <v>2.2840399999999996</v>
      </c>
    </row>
    <row r="164" spans="1:16" ht="24">
      <c r="A164" s="12">
        <v>163</v>
      </c>
      <c r="B164" s="2" t="s">
        <v>352</v>
      </c>
      <c r="C164" s="2" t="s">
        <v>363</v>
      </c>
      <c r="D164" s="1" t="s">
        <v>380</v>
      </c>
      <c r="E164" s="13" t="s">
        <v>828</v>
      </c>
      <c r="F164" s="2" t="s">
        <v>383</v>
      </c>
      <c r="G164" s="12" t="s">
        <v>824</v>
      </c>
      <c r="H164" s="14" t="s">
        <v>823</v>
      </c>
      <c r="I164" s="3" t="s">
        <v>384</v>
      </c>
      <c r="J164" s="16">
        <f>JG</f>
        <v>46</v>
      </c>
      <c r="K164" s="13">
        <v>1</v>
      </c>
      <c r="L164" s="16">
        <f t="shared" ref="L164:L195" si="26">J164*K164</f>
        <v>46</v>
      </c>
      <c r="M164" s="16">
        <f>0.084*0.328*0.0055*7850</f>
        <v>1.1895576000000001</v>
      </c>
      <c r="N164" s="18">
        <f t="shared" ref="N164:N195" si="27">L164*M164*0.001</f>
        <v>5.4719649600000003E-2</v>
      </c>
      <c r="O164" s="16">
        <f>0.084*2*0.328</f>
        <v>5.5104000000000007E-2</v>
      </c>
      <c r="P164" s="18">
        <f t="shared" ref="P164:P195" si="28">O164*L164</f>
        <v>2.5347840000000001</v>
      </c>
    </row>
    <row r="165" spans="1:16" ht="48">
      <c r="A165" s="12">
        <v>164</v>
      </c>
      <c r="B165" s="2" t="s">
        <v>352</v>
      </c>
      <c r="C165" s="2" t="s">
        <v>363</v>
      </c>
      <c r="D165" s="1" t="s">
        <v>260</v>
      </c>
      <c r="E165" s="13" t="s">
        <v>827</v>
      </c>
      <c r="F165" s="2" t="s">
        <v>261</v>
      </c>
      <c r="G165" s="12" t="s">
        <v>824</v>
      </c>
      <c r="H165" s="14" t="s">
        <v>823</v>
      </c>
      <c r="I165" s="3" t="s">
        <v>387</v>
      </c>
      <c r="J165" s="16">
        <f>JG</f>
        <v>200.85000000000002</v>
      </c>
      <c r="K165" s="13">
        <v>1</v>
      </c>
      <c r="L165" s="16">
        <f t="shared" si="26"/>
        <v>200.85000000000002</v>
      </c>
      <c r="M165" s="16">
        <v>49.4</v>
      </c>
      <c r="N165" s="18">
        <f t="shared" si="27"/>
        <v>9.921990000000001</v>
      </c>
      <c r="O165" s="16">
        <v>1.36</v>
      </c>
      <c r="P165" s="18">
        <f t="shared" si="28"/>
        <v>273.15600000000006</v>
      </c>
    </row>
    <row r="166" spans="1:16" ht="24">
      <c r="A166" s="12">
        <v>165</v>
      </c>
      <c r="B166" s="2" t="s">
        <v>352</v>
      </c>
      <c r="C166" s="2" t="s">
        <v>363</v>
      </c>
      <c r="D166" s="1" t="s">
        <v>39</v>
      </c>
      <c r="E166" s="13" t="s">
        <v>828</v>
      </c>
      <c r="F166" s="2" t="s">
        <v>385</v>
      </c>
      <c r="G166" s="12" t="s">
        <v>824</v>
      </c>
      <c r="H166" s="14" t="s">
        <v>823</v>
      </c>
      <c r="I166" s="3" t="s">
        <v>301</v>
      </c>
      <c r="J166" s="16">
        <f>JG</f>
        <v>8</v>
      </c>
      <c r="K166" s="13">
        <v>1</v>
      </c>
      <c r="L166" s="16">
        <f t="shared" si="26"/>
        <v>8</v>
      </c>
      <c r="M166" s="16">
        <f>0.12*0.312*0.007*7850</f>
        <v>2.0573280000000005</v>
      </c>
      <c r="N166" s="18">
        <f t="shared" si="27"/>
        <v>1.6458624000000005E-2</v>
      </c>
      <c r="O166" s="16">
        <f>0.12*2*0.312</f>
        <v>7.4880000000000002E-2</v>
      </c>
      <c r="P166" s="18">
        <f t="shared" si="28"/>
        <v>0.59904000000000002</v>
      </c>
    </row>
    <row r="167" spans="1:16" ht="24">
      <c r="A167" s="12">
        <v>166</v>
      </c>
      <c r="B167" s="2" t="s">
        <v>352</v>
      </c>
      <c r="C167" s="2" t="s">
        <v>363</v>
      </c>
      <c r="D167" s="1" t="s">
        <v>39</v>
      </c>
      <c r="E167" s="13" t="s">
        <v>828</v>
      </c>
      <c r="F167" s="2" t="s">
        <v>263</v>
      </c>
      <c r="G167" s="12" t="s">
        <v>824</v>
      </c>
      <c r="H167" s="14" t="s">
        <v>823</v>
      </c>
      <c r="I167" s="3" t="s">
        <v>397</v>
      </c>
      <c r="J167" s="16">
        <f>JG</f>
        <v>58</v>
      </c>
      <c r="K167" s="13">
        <v>1</v>
      </c>
      <c r="L167" s="16">
        <f t="shared" si="26"/>
        <v>58</v>
      </c>
      <c r="M167" s="16">
        <f>0.145*0.358*0.007*7850</f>
        <v>2.8524544999999999</v>
      </c>
      <c r="N167" s="18">
        <f t="shared" si="27"/>
        <v>0.16544236100000001</v>
      </c>
      <c r="O167" s="16">
        <f>0.145*2*0.358</f>
        <v>0.10381999999999998</v>
      </c>
      <c r="P167" s="18">
        <f t="shared" si="28"/>
        <v>6.0215599999999991</v>
      </c>
    </row>
    <row r="168" spans="1:16" ht="24">
      <c r="A168" s="12">
        <v>167</v>
      </c>
      <c r="B168" s="2" t="s">
        <v>352</v>
      </c>
      <c r="C168" s="2" t="s">
        <v>363</v>
      </c>
      <c r="D168" s="1" t="s">
        <v>39</v>
      </c>
      <c r="E168" s="13" t="s">
        <v>828</v>
      </c>
      <c r="F168" s="2" t="s">
        <v>304</v>
      </c>
      <c r="G168" s="12" t="s">
        <v>824</v>
      </c>
      <c r="H168" s="14" t="s">
        <v>823</v>
      </c>
      <c r="I168" s="3" t="s">
        <v>301</v>
      </c>
      <c r="J168" s="16">
        <f>JG</f>
        <v>8</v>
      </c>
      <c r="K168" s="13">
        <v>1</v>
      </c>
      <c r="L168" s="16">
        <f t="shared" si="26"/>
        <v>8</v>
      </c>
      <c r="M168" s="16">
        <f>0.084*0.328*0.007*7850</f>
        <v>1.5139824000000002</v>
      </c>
      <c r="N168" s="18">
        <f t="shared" si="27"/>
        <v>1.2111859200000002E-2</v>
      </c>
      <c r="O168" s="16">
        <f>0.084*2*0.328</f>
        <v>5.5104000000000007E-2</v>
      </c>
      <c r="P168" s="18">
        <f t="shared" si="28"/>
        <v>0.44083200000000006</v>
      </c>
    </row>
    <row r="169" spans="1:16" ht="24">
      <c r="A169" s="12">
        <v>168</v>
      </c>
      <c r="B169" s="2" t="s">
        <v>352</v>
      </c>
      <c r="C169" s="2" t="s">
        <v>363</v>
      </c>
      <c r="D169" s="1" t="s">
        <v>39</v>
      </c>
      <c r="E169" s="13" t="s">
        <v>828</v>
      </c>
      <c r="F169" s="2" t="s">
        <v>386</v>
      </c>
      <c r="G169" s="12" t="s">
        <v>824</v>
      </c>
      <c r="H169" s="14" t="s">
        <v>823</v>
      </c>
      <c r="I169" s="3" t="s">
        <v>344</v>
      </c>
      <c r="J169" s="16">
        <f>JG</f>
        <v>16</v>
      </c>
      <c r="K169" s="13">
        <v>1</v>
      </c>
      <c r="L169" s="16">
        <f t="shared" si="26"/>
        <v>16</v>
      </c>
      <c r="M169" s="16">
        <f>0.096*0.374*0.007*7850</f>
        <v>1.9729247999999999</v>
      </c>
      <c r="N169" s="18">
        <f t="shared" si="27"/>
        <v>3.1566796799999998E-2</v>
      </c>
      <c r="O169" s="16">
        <f>0.096*2*0.374</f>
        <v>7.1807999999999997E-2</v>
      </c>
      <c r="P169" s="18">
        <f t="shared" si="28"/>
        <v>1.1489279999999999</v>
      </c>
    </row>
    <row r="170" spans="1:16" ht="24">
      <c r="A170" s="12">
        <v>169</v>
      </c>
      <c r="B170" s="2" t="s">
        <v>352</v>
      </c>
      <c r="C170" s="2" t="s">
        <v>363</v>
      </c>
      <c r="D170" s="1" t="s">
        <v>305</v>
      </c>
      <c r="E170" s="13" t="s">
        <v>827</v>
      </c>
      <c r="F170" s="2" t="s">
        <v>261</v>
      </c>
      <c r="G170" s="12" t="s">
        <v>824</v>
      </c>
      <c r="H170" s="14" t="s">
        <v>823</v>
      </c>
      <c r="I170" s="3" t="s">
        <v>388</v>
      </c>
      <c r="J170" s="16">
        <f>JG</f>
        <v>22.5</v>
      </c>
      <c r="K170" s="13">
        <v>1</v>
      </c>
      <c r="L170" s="16">
        <f t="shared" si="26"/>
        <v>22.5</v>
      </c>
      <c r="M170" s="16">
        <v>49.4</v>
      </c>
      <c r="N170" s="18">
        <f t="shared" si="27"/>
        <v>1.1114999999999999</v>
      </c>
      <c r="O170" s="16">
        <v>1.36</v>
      </c>
      <c r="P170" s="18">
        <f t="shared" si="28"/>
        <v>30.6</v>
      </c>
    </row>
    <row r="171" spans="1:16" ht="24">
      <c r="A171" s="12">
        <v>170</v>
      </c>
      <c r="B171" s="2" t="s">
        <v>352</v>
      </c>
      <c r="C171" s="2" t="s">
        <v>363</v>
      </c>
      <c r="D171" s="1" t="s">
        <v>346</v>
      </c>
      <c r="E171" s="13" t="s">
        <v>827</v>
      </c>
      <c r="F171" s="2" t="s">
        <v>347</v>
      </c>
      <c r="G171" s="12" t="s">
        <v>824</v>
      </c>
      <c r="H171" s="14" t="s">
        <v>823</v>
      </c>
      <c r="I171" s="3" t="s">
        <v>389</v>
      </c>
      <c r="J171" s="16">
        <f>JG</f>
        <v>26.5</v>
      </c>
      <c r="K171" s="13">
        <v>1</v>
      </c>
      <c r="L171" s="16">
        <f t="shared" si="26"/>
        <v>26.5</v>
      </c>
      <c r="M171" s="16">
        <v>65.400000000000006</v>
      </c>
      <c r="N171" s="18">
        <f t="shared" si="27"/>
        <v>1.7331000000000001</v>
      </c>
      <c r="O171" s="16">
        <v>1.56</v>
      </c>
      <c r="P171" s="18">
        <f t="shared" si="28"/>
        <v>41.34</v>
      </c>
    </row>
    <row r="172" spans="1:16" ht="24">
      <c r="A172" s="12">
        <v>171</v>
      </c>
      <c r="B172" s="2" t="s">
        <v>352</v>
      </c>
      <c r="C172" s="2" t="s">
        <v>363</v>
      </c>
      <c r="D172" s="1" t="s">
        <v>390</v>
      </c>
      <c r="E172" s="13" t="s">
        <v>830</v>
      </c>
      <c r="F172" s="2" t="s">
        <v>391</v>
      </c>
      <c r="G172" s="12" t="s">
        <v>824</v>
      </c>
      <c r="H172" s="14" t="s">
        <v>823</v>
      </c>
      <c r="I172" s="3" t="s">
        <v>392</v>
      </c>
      <c r="J172" s="16">
        <f>JG</f>
        <v>5.1237193521893838</v>
      </c>
      <c r="K172" s="13">
        <v>4</v>
      </c>
      <c r="L172" s="16">
        <f t="shared" si="26"/>
        <v>20.494877408757535</v>
      </c>
      <c r="M172" s="16">
        <v>18.399999999999999</v>
      </c>
      <c r="N172" s="18">
        <f t="shared" si="27"/>
        <v>0.37710574432113864</v>
      </c>
      <c r="O172" s="16">
        <v>0.58899999999999997</v>
      </c>
      <c r="P172" s="18">
        <f t="shared" si="28"/>
        <v>12.071482793758188</v>
      </c>
    </row>
    <row r="173" spans="1:16" ht="24">
      <c r="A173" s="12">
        <v>172</v>
      </c>
      <c r="B173" s="2" t="s">
        <v>352</v>
      </c>
      <c r="C173" s="2" t="s">
        <v>363</v>
      </c>
      <c r="D173" s="1" t="s">
        <v>390</v>
      </c>
      <c r="E173" s="13" t="s">
        <v>830</v>
      </c>
      <c r="F173" s="2" t="s">
        <v>391</v>
      </c>
      <c r="G173" s="12" t="s">
        <v>824</v>
      </c>
      <c r="H173" s="14" t="s">
        <v>823</v>
      </c>
      <c r="I173" s="3" t="s">
        <v>393</v>
      </c>
      <c r="J173" s="16">
        <f>JG</f>
        <v>5.1971145840745132</v>
      </c>
      <c r="K173" s="13">
        <v>12</v>
      </c>
      <c r="L173" s="16">
        <f t="shared" si="26"/>
        <v>62.365375008894162</v>
      </c>
      <c r="M173" s="16">
        <v>18.399999999999999</v>
      </c>
      <c r="N173" s="18">
        <f t="shared" si="27"/>
        <v>1.1475229001636527</v>
      </c>
      <c r="O173" s="16">
        <v>0.58899999999999997</v>
      </c>
      <c r="P173" s="18">
        <f t="shared" si="28"/>
        <v>36.733205880238657</v>
      </c>
    </row>
    <row r="174" spans="1:16" ht="24">
      <c r="A174" s="12">
        <v>173</v>
      </c>
      <c r="B174" s="2" t="s">
        <v>352</v>
      </c>
      <c r="C174" s="2" t="s">
        <v>363</v>
      </c>
      <c r="D174" s="1" t="s">
        <v>390</v>
      </c>
      <c r="E174" s="13" t="s">
        <v>830</v>
      </c>
      <c r="F174" s="2" t="s">
        <v>391</v>
      </c>
      <c r="G174" s="12" t="s">
        <v>824</v>
      </c>
      <c r="H174" s="14" t="s">
        <v>823</v>
      </c>
      <c r="I174" s="3" t="s">
        <v>394</v>
      </c>
      <c r="J174" s="16">
        <f>JG</f>
        <v>5.1478150704935004</v>
      </c>
      <c r="K174" s="13">
        <v>4</v>
      </c>
      <c r="L174" s="16">
        <f t="shared" si="26"/>
        <v>20.591260281974002</v>
      </c>
      <c r="M174" s="16">
        <v>18.399999999999999</v>
      </c>
      <c r="N174" s="18">
        <f t="shared" si="27"/>
        <v>0.37887918918832164</v>
      </c>
      <c r="O174" s="16">
        <v>0.58899999999999997</v>
      </c>
      <c r="P174" s="18">
        <f t="shared" si="28"/>
        <v>12.128252306082686</v>
      </c>
    </row>
    <row r="175" spans="1:16" ht="24">
      <c r="A175" s="12">
        <v>174</v>
      </c>
      <c r="B175" s="2" t="s">
        <v>352</v>
      </c>
      <c r="C175" s="2" t="s">
        <v>363</v>
      </c>
      <c r="D175" s="1" t="s">
        <v>390</v>
      </c>
      <c r="E175" s="13" t="s">
        <v>830</v>
      </c>
      <c r="F175" s="2" t="s">
        <v>391</v>
      </c>
      <c r="G175" s="12" t="s">
        <v>824</v>
      </c>
      <c r="H175" s="14" t="s">
        <v>823</v>
      </c>
      <c r="I175" s="3" t="s">
        <v>395</v>
      </c>
      <c r="J175" s="16">
        <f>JG</f>
        <v>4.924428900898052</v>
      </c>
      <c r="K175" s="13">
        <v>2</v>
      </c>
      <c r="L175" s="16">
        <f t="shared" si="26"/>
        <v>9.8488578017961039</v>
      </c>
      <c r="M175" s="16">
        <v>18.399999999999999</v>
      </c>
      <c r="N175" s="18">
        <f t="shared" si="27"/>
        <v>0.1812189835530483</v>
      </c>
      <c r="O175" s="16">
        <v>0.58899999999999997</v>
      </c>
      <c r="P175" s="18">
        <f t="shared" si="28"/>
        <v>5.8009772452579051</v>
      </c>
    </row>
    <row r="176" spans="1:16" ht="24">
      <c r="A176" s="12">
        <v>175</v>
      </c>
      <c r="B176" s="2" t="s">
        <v>352</v>
      </c>
      <c r="C176" s="2" t="s">
        <v>363</v>
      </c>
      <c r="D176" s="1" t="s">
        <v>390</v>
      </c>
      <c r="E176" s="13" t="s">
        <v>830</v>
      </c>
      <c r="F176" s="2" t="s">
        <v>391</v>
      </c>
      <c r="G176" s="12" t="s">
        <v>824</v>
      </c>
      <c r="H176" s="14" t="s">
        <v>823</v>
      </c>
      <c r="I176" s="3" t="s">
        <v>396</v>
      </c>
      <c r="J176" s="16">
        <f>JG</f>
        <v>5.4083269131959844</v>
      </c>
      <c r="K176" s="13">
        <v>6</v>
      </c>
      <c r="L176" s="16">
        <f t="shared" si="26"/>
        <v>32.449961479175904</v>
      </c>
      <c r="M176" s="16">
        <v>18.399999999999999</v>
      </c>
      <c r="N176" s="18">
        <f t="shared" si="27"/>
        <v>0.59707929121683667</v>
      </c>
      <c r="O176" s="16">
        <v>0.58899999999999997</v>
      </c>
      <c r="P176" s="18">
        <f t="shared" si="28"/>
        <v>19.113027311234607</v>
      </c>
    </row>
    <row r="177" spans="1:16" ht="24">
      <c r="A177" s="12">
        <v>176</v>
      </c>
      <c r="B177" s="2" t="s">
        <v>422</v>
      </c>
      <c r="C177" s="2" t="s">
        <v>423</v>
      </c>
      <c r="D177" s="1" t="s">
        <v>222</v>
      </c>
      <c r="E177" s="13" t="s">
        <v>827</v>
      </c>
      <c r="F177" s="2" t="s">
        <v>223</v>
      </c>
      <c r="G177" s="12" t="s">
        <v>824</v>
      </c>
      <c r="H177" s="14" t="s">
        <v>823</v>
      </c>
      <c r="I177" s="3" t="s">
        <v>425</v>
      </c>
      <c r="J177" s="16">
        <f>JG</f>
        <v>2.8</v>
      </c>
      <c r="K177" s="13">
        <v>4</v>
      </c>
      <c r="L177" s="16">
        <f t="shared" si="26"/>
        <v>11.2</v>
      </c>
      <c r="M177" s="16">
        <v>16.899999999999999</v>
      </c>
      <c r="N177" s="18">
        <f t="shared" si="27"/>
        <v>0.18927999999999998</v>
      </c>
      <c r="O177" s="16">
        <v>0.57399999999999995</v>
      </c>
      <c r="P177" s="18">
        <f t="shared" si="28"/>
        <v>6.428799999999999</v>
      </c>
    </row>
    <row r="178" spans="1:16" ht="24">
      <c r="A178" s="12">
        <v>177</v>
      </c>
      <c r="B178" s="2" t="s">
        <v>352</v>
      </c>
      <c r="C178" s="2" t="s">
        <v>421</v>
      </c>
      <c r="D178" s="1" t="s">
        <v>228</v>
      </c>
      <c r="E178" s="13" t="s">
        <v>827</v>
      </c>
      <c r="F178" s="2" t="s">
        <v>226</v>
      </c>
      <c r="G178" s="12" t="s">
        <v>824</v>
      </c>
      <c r="H178" s="14" t="s">
        <v>823</v>
      </c>
      <c r="I178" s="3" t="s">
        <v>399</v>
      </c>
      <c r="J178" s="16">
        <f>JG</f>
        <v>5.0274999999999999</v>
      </c>
      <c r="K178" s="13">
        <v>1</v>
      </c>
      <c r="L178" s="16">
        <f t="shared" si="26"/>
        <v>5.0274999999999999</v>
      </c>
      <c r="M178" s="16">
        <v>29.9</v>
      </c>
      <c r="N178" s="18">
        <f t="shared" si="27"/>
        <v>0.15032224999999999</v>
      </c>
      <c r="O178" s="16">
        <v>0.96199999999999997</v>
      </c>
      <c r="P178" s="18">
        <f t="shared" si="28"/>
        <v>4.8364549999999999</v>
      </c>
    </row>
    <row r="179" spans="1:16" ht="24">
      <c r="A179" s="12">
        <v>178</v>
      </c>
      <c r="B179" s="2" t="s">
        <v>352</v>
      </c>
      <c r="C179" s="2" t="s">
        <v>398</v>
      </c>
      <c r="D179" s="1" t="s">
        <v>39</v>
      </c>
      <c r="E179" s="13" t="s">
        <v>828</v>
      </c>
      <c r="F179" s="2" t="s">
        <v>401</v>
      </c>
      <c r="G179" s="12" t="s">
        <v>824</v>
      </c>
      <c r="H179" s="14" t="s">
        <v>823</v>
      </c>
      <c r="I179" s="3">
        <v>1</v>
      </c>
      <c r="J179" s="16">
        <f>JG</f>
        <v>1</v>
      </c>
      <c r="K179" s="13">
        <v>1</v>
      </c>
      <c r="L179" s="16">
        <f t="shared" si="26"/>
        <v>1</v>
      </c>
      <c r="M179" s="16">
        <f>0.084*0.328*0.006*7850</f>
        <v>1.2976992000000003</v>
      </c>
      <c r="N179" s="18">
        <f t="shared" si="27"/>
        <v>1.2976992000000003E-3</v>
      </c>
      <c r="O179" s="16">
        <f>0.084*2*0.328</f>
        <v>5.5104000000000007E-2</v>
      </c>
      <c r="P179" s="18">
        <f t="shared" si="28"/>
        <v>5.5104000000000007E-2</v>
      </c>
    </row>
    <row r="180" spans="1:16" ht="24">
      <c r="A180" s="12">
        <v>179</v>
      </c>
      <c r="B180" s="2" t="s">
        <v>352</v>
      </c>
      <c r="C180" s="2" t="s">
        <v>398</v>
      </c>
      <c r="D180" s="1" t="s">
        <v>39</v>
      </c>
      <c r="E180" s="13" t="s">
        <v>828</v>
      </c>
      <c r="F180" s="2" t="s">
        <v>230</v>
      </c>
      <c r="G180" s="12" t="s">
        <v>824</v>
      </c>
      <c r="H180" s="14" t="s">
        <v>823</v>
      </c>
      <c r="I180" s="3" t="s">
        <v>371</v>
      </c>
      <c r="J180" s="16">
        <f>JG</f>
        <v>2</v>
      </c>
      <c r="K180" s="13">
        <v>1</v>
      </c>
      <c r="L180" s="16">
        <f t="shared" si="26"/>
        <v>2</v>
      </c>
      <c r="M180" s="16">
        <f>0.145*0.358*0.006*7850</f>
        <v>2.4449609999999997</v>
      </c>
      <c r="N180" s="18">
        <f t="shared" si="27"/>
        <v>4.8899219999999997E-3</v>
      </c>
      <c r="O180" s="16">
        <f>0.145*2*0.358</f>
        <v>0.10381999999999998</v>
      </c>
      <c r="P180" s="18">
        <f t="shared" si="28"/>
        <v>0.20763999999999996</v>
      </c>
    </row>
    <row r="181" spans="1:16" ht="24">
      <c r="A181" s="12">
        <v>180</v>
      </c>
      <c r="B181" s="2" t="s">
        <v>352</v>
      </c>
      <c r="C181" s="2" t="s">
        <v>398</v>
      </c>
      <c r="D181" s="1" t="s">
        <v>23</v>
      </c>
      <c r="E181" s="13" t="s">
        <v>827</v>
      </c>
      <c r="F181" s="2" t="s">
        <v>28</v>
      </c>
      <c r="G181" s="12" t="s">
        <v>824</v>
      </c>
      <c r="H181" s="14" t="s">
        <v>823</v>
      </c>
      <c r="I181" s="3">
        <v>6</v>
      </c>
      <c r="J181" s="16">
        <f>JG</f>
        <v>6</v>
      </c>
      <c r="K181" s="13">
        <v>2</v>
      </c>
      <c r="L181" s="16">
        <f t="shared" si="26"/>
        <v>12</v>
      </c>
      <c r="M181" s="16">
        <v>78.099999999999994</v>
      </c>
      <c r="N181" s="18">
        <f t="shared" si="27"/>
        <v>0.93719999999999992</v>
      </c>
      <c r="O181" s="16">
        <v>1.64</v>
      </c>
      <c r="P181" s="18">
        <f t="shared" si="28"/>
        <v>19.68</v>
      </c>
    </row>
    <row r="182" spans="1:16" ht="24">
      <c r="A182" s="12">
        <v>181</v>
      </c>
      <c r="B182" s="2" t="s">
        <v>352</v>
      </c>
      <c r="C182" s="2" t="s">
        <v>398</v>
      </c>
      <c r="D182" s="1" t="s">
        <v>403</v>
      </c>
      <c r="E182" s="13" t="s">
        <v>827</v>
      </c>
      <c r="F182" s="2" t="s">
        <v>404</v>
      </c>
      <c r="G182" s="12" t="s">
        <v>824</v>
      </c>
      <c r="H182" s="14" t="s">
        <v>823</v>
      </c>
      <c r="I182" s="3" t="s">
        <v>405</v>
      </c>
      <c r="J182" s="16">
        <f>JG</f>
        <v>87</v>
      </c>
      <c r="K182" s="13">
        <v>1</v>
      </c>
      <c r="L182" s="16">
        <f t="shared" si="26"/>
        <v>87</v>
      </c>
      <c r="M182" s="16">
        <v>105</v>
      </c>
      <c r="N182" s="18">
        <f t="shared" si="27"/>
        <v>9.1349999999999998</v>
      </c>
      <c r="O182" s="16">
        <v>1.94</v>
      </c>
      <c r="P182" s="18">
        <f t="shared" si="28"/>
        <v>168.78</v>
      </c>
    </row>
    <row r="183" spans="1:16" ht="24">
      <c r="A183" s="12">
        <v>182</v>
      </c>
      <c r="B183" s="2" t="s">
        <v>352</v>
      </c>
      <c r="C183" s="2" t="s">
        <v>398</v>
      </c>
      <c r="D183" s="1" t="s">
        <v>406</v>
      </c>
      <c r="E183" s="13" t="s">
        <v>827</v>
      </c>
      <c r="F183" s="2" t="s">
        <v>404</v>
      </c>
      <c r="G183" s="12" t="s">
        <v>824</v>
      </c>
      <c r="H183" s="14" t="s">
        <v>823</v>
      </c>
      <c r="I183" s="3" t="s">
        <v>415</v>
      </c>
      <c r="J183" s="16">
        <f>JG</f>
        <v>94.949999999999989</v>
      </c>
      <c r="K183" s="13">
        <v>1</v>
      </c>
      <c r="L183" s="16">
        <f t="shared" si="26"/>
        <v>94.949999999999989</v>
      </c>
      <c r="M183" s="16">
        <v>105</v>
      </c>
      <c r="N183" s="18">
        <f t="shared" si="27"/>
        <v>9.9697499999999977</v>
      </c>
      <c r="O183" s="16">
        <v>1.94</v>
      </c>
      <c r="P183" s="18">
        <f t="shared" si="28"/>
        <v>184.20299999999997</v>
      </c>
    </row>
    <row r="184" spans="1:16" ht="24">
      <c r="A184" s="12">
        <v>183</v>
      </c>
      <c r="B184" s="2" t="s">
        <v>352</v>
      </c>
      <c r="C184" s="2" t="s">
        <v>398</v>
      </c>
      <c r="D184" s="1" t="s">
        <v>39</v>
      </c>
      <c r="E184" s="13" t="s">
        <v>828</v>
      </c>
      <c r="F184" s="2" t="s">
        <v>416</v>
      </c>
      <c r="G184" s="12" t="s">
        <v>824</v>
      </c>
      <c r="H184" s="14" t="s">
        <v>823</v>
      </c>
      <c r="I184" s="3">
        <v>4</v>
      </c>
      <c r="J184" s="16">
        <f>JG</f>
        <v>4</v>
      </c>
      <c r="K184" s="13">
        <v>1</v>
      </c>
      <c r="L184" s="16">
        <f t="shared" si="26"/>
        <v>4</v>
      </c>
      <c r="M184" s="16">
        <f>0.145*0.358*0.01*7850</f>
        <v>4.0749349999999991</v>
      </c>
      <c r="N184" s="18">
        <f t="shared" si="27"/>
        <v>1.6299739999999997E-2</v>
      </c>
      <c r="O184" s="16">
        <f>0.145*2*0.358</f>
        <v>0.10381999999999998</v>
      </c>
      <c r="P184" s="18">
        <f t="shared" si="28"/>
        <v>0.41527999999999993</v>
      </c>
    </row>
    <row r="185" spans="1:16" ht="24">
      <c r="A185" s="12">
        <v>184</v>
      </c>
      <c r="B185" s="2" t="s">
        <v>352</v>
      </c>
      <c r="C185" s="2" t="s">
        <v>398</v>
      </c>
      <c r="D185" s="1" t="s">
        <v>407</v>
      </c>
      <c r="E185" s="13" t="s">
        <v>827</v>
      </c>
      <c r="F185" s="2" t="s">
        <v>408</v>
      </c>
      <c r="G185" s="12" t="s">
        <v>824</v>
      </c>
      <c r="H185" s="14" t="s">
        <v>823</v>
      </c>
      <c r="I185" s="3" t="s">
        <v>409</v>
      </c>
      <c r="J185" s="16">
        <f>JG</f>
        <v>7.5500000000000007</v>
      </c>
      <c r="K185" s="13">
        <v>1</v>
      </c>
      <c r="L185" s="16">
        <f t="shared" si="26"/>
        <v>7.5500000000000007</v>
      </c>
      <c r="M185" s="16">
        <v>14</v>
      </c>
      <c r="N185" s="18">
        <f t="shared" si="27"/>
        <v>0.10570000000000002</v>
      </c>
      <c r="O185" s="16">
        <v>0.57599999999999996</v>
      </c>
      <c r="P185" s="18">
        <f t="shared" si="28"/>
        <v>4.3487999999999998</v>
      </c>
    </row>
    <row r="186" spans="1:16" ht="24">
      <c r="A186" s="12">
        <v>185</v>
      </c>
      <c r="B186" s="2" t="s">
        <v>352</v>
      </c>
      <c r="C186" s="2" t="s">
        <v>398</v>
      </c>
      <c r="D186" s="1" t="s">
        <v>39</v>
      </c>
      <c r="E186" s="13" t="s">
        <v>828</v>
      </c>
      <c r="F186" s="2" t="s">
        <v>410</v>
      </c>
      <c r="G186" s="12" t="s">
        <v>824</v>
      </c>
      <c r="H186" s="14" t="s">
        <v>823</v>
      </c>
      <c r="I186" s="3" t="s">
        <v>411</v>
      </c>
      <c r="J186" s="16">
        <f>JG</f>
        <v>12</v>
      </c>
      <c r="K186" s="13">
        <v>1</v>
      </c>
      <c r="L186" s="16">
        <f t="shared" si="26"/>
        <v>12</v>
      </c>
      <c r="M186" s="16">
        <f>0.072*0.176*0.007*7850</f>
        <v>0.6963263999999999</v>
      </c>
      <c r="N186" s="18">
        <f t="shared" si="27"/>
        <v>8.3559168E-3</v>
      </c>
      <c r="O186" s="16">
        <f>0.072*2*0.176</f>
        <v>2.5343999999999995E-2</v>
      </c>
      <c r="P186" s="18">
        <f t="shared" si="28"/>
        <v>0.30412799999999995</v>
      </c>
    </row>
    <row r="187" spans="1:16" ht="24">
      <c r="A187" s="12">
        <v>186</v>
      </c>
      <c r="B187" s="2" t="s">
        <v>352</v>
      </c>
      <c r="C187" s="2" t="s">
        <v>398</v>
      </c>
      <c r="D187" s="1" t="s">
        <v>145</v>
      </c>
      <c r="E187" s="13" t="s">
        <v>827</v>
      </c>
      <c r="F187" s="2" t="s">
        <v>29</v>
      </c>
      <c r="G187" s="12" t="s">
        <v>824</v>
      </c>
      <c r="H187" s="14" t="s">
        <v>823</v>
      </c>
      <c r="I187" s="3" t="s">
        <v>414</v>
      </c>
      <c r="J187" s="16">
        <f>JG</f>
        <v>63.05</v>
      </c>
      <c r="K187" s="13">
        <v>1</v>
      </c>
      <c r="L187" s="16">
        <f t="shared" si="26"/>
        <v>63.05</v>
      </c>
      <c r="M187" s="16">
        <v>20.9</v>
      </c>
      <c r="N187" s="18">
        <f t="shared" si="27"/>
        <v>1.3177449999999999</v>
      </c>
      <c r="O187" s="16">
        <v>0.77500000000000002</v>
      </c>
      <c r="P187" s="18">
        <f t="shared" si="28"/>
        <v>48.863749999999996</v>
      </c>
    </row>
    <row r="188" spans="1:16" ht="24">
      <c r="A188" s="12">
        <v>187</v>
      </c>
      <c r="B188" s="2" t="s">
        <v>352</v>
      </c>
      <c r="C188" s="2" t="s">
        <v>398</v>
      </c>
      <c r="D188" s="1" t="s">
        <v>39</v>
      </c>
      <c r="E188" s="13" t="s">
        <v>828</v>
      </c>
      <c r="F188" s="2" t="s">
        <v>381</v>
      </c>
      <c r="G188" s="12" t="s">
        <v>824</v>
      </c>
      <c r="H188" s="14" t="s">
        <v>823</v>
      </c>
      <c r="I188" s="3" t="s">
        <v>382</v>
      </c>
      <c r="J188" s="16">
        <f>JG</f>
        <v>22</v>
      </c>
      <c r="K188" s="13">
        <v>1</v>
      </c>
      <c r="L188" s="16">
        <f t="shared" si="26"/>
        <v>22</v>
      </c>
      <c r="M188" s="16">
        <f>0.145*0.358*0.0055*7850</f>
        <v>2.2412142499999992</v>
      </c>
      <c r="N188" s="18">
        <f t="shared" si="27"/>
        <v>4.9306713499999981E-2</v>
      </c>
      <c r="O188" s="16">
        <f>0.145*2*0.358</f>
        <v>0.10381999999999998</v>
      </c>
      <c r="P188" s="18">
        <f t="shared" si="28"/>
        <v>2.2840399999999996</v>
      </c>
    </row>
    <row r="189" spans="1:16" ht="24">
      <c r="A189" s="12">
        <v>188</v>
      </c>
      <c r="B189" s="2" t="s">
        <v>352</v>
      </c>
      <c r="C189" s="2" t="s">
        <v>398</v>
      </c>
      <c r="D189" s="1" t="s">
        <v>39</v>
      </c>
      <c r="E189" s="13" t="s">
        <v>828</v>
      </c>
      <c r="F189" s="2" t="s">
        <v>383</v>
      </c>
      <c r="G189" s="12" t="s">
        <v>824</v>
      </c>
      <c r="H189" s="14" t="s">
        <v>823</v>
      </c>
      <c r="I189" s="3" t="s">
        <v>417</v>
      </c>
      <c r="J189" s="16">
        <f>JG</f>
        <v>28</v>
      </c>
      <c r="K189" s="13">
        <v>1</v>
      </c>
      <c r="L189" s="16">
        <f t="shared" si="26"/>
        <v>28</v>
      </c>
      <c r="M189" s="16">
        <f>0.084*0.328*0.0055*7850</f>
        <v>1.1895576000000001</v>
      </c>
      <c r="N189" s="18">
        <f t="shared" si="27"/>
        <v>3.3307612800000004E-2</v>
      </c>
      <c r="O189" s="16">
        <f>0.084*2*0.328</f>
        <v>5.5104000000000007E-2</v>
      </c>
      <c r="P189" s="18">
        <f t="shared" si="28"/>
        <v>1.5429120000000003</v>
      </c>
    </row>
    <row r="190" spans="1:16" ht="48">
      <c r="A190" s="12">
        <v>189</v>
      </c>
      <c r="B190" s="2" t="s">
        <v>352</v>
      </c>
      <c r="C190" s="2" t="s">
        <v>398</v>
      </c>
      <c r="D190" s="1" t="s">
        <v>260</v>
      </c>
      <c r="E190" s="13" t="s">
        <v>827</v>
      </c>
      <c r="F190" s="2" t="s">
        <v>261</v>
      </c>
      <c r="G190" s="12" t="s">
        <v>824</v>
      </c>
      <c r="H190" s="14" t="s">
        <v>823</v>
      </c>
      <c r="I190" s="3" t="s">
        <v>418</v>
      </c>
      <c r="J190" s="16">
        <f>JG</f>
        <v>122.29999999999998</v>
      </c>
      <c r="K190" s="13">
        <v>1</v>
      </c>
      <c r="L190" s="16">
        <f t="shared" si="26"/>
        <v>122.29999999999998</v>
      </c>
      <c r="M190" s="16">
        <v>49.4</v>
      </c>
      <c r="N190" s="18">
        <f t="shared" si="27"/>
        <v>6.0416199999999991</v>
      </c>
      <c r="O190" s="16">
        <v>1.36</v>
      </c>
      <c r="P190" s="18">
        <f t="shared" si="28"/>
        <v>166.328</v>
      </c>
    </row>
    <row r="191" spans="1:16" ht="24">
      <c r="A191" s="12">
        <v>190</v>
      </c>
      <c r="B191" s="2" t="s">
        <v>352</v>
      </c>
      <c r="C191" s="2" t="s">
        <v>398</v>
      </c>
      <c r="D191" s="1" t="s">
        <v>39</v>
      </c>
      <c r="E191" s="13" t="s">
        <v>828</v>
      </c>
      <c r="F191" s="2" t="s">
        <v>385</v>
      </c>
      <c r="G191" s="12" t="s">
        <v>824</v>
      </c>
      <c r="H191" s="14" t="s">
        <v>823</v>
      </c>
      <c r="I191" s="3">
        <v>4</v>
      </c>
      <c r="J191" s="16">
        <f>JG</f>
        <v>4</v>
      </c>
      <c r="K191" s="13">
        <v>1</v>
      </c>
      <c r="L191" s="16">
        <f t="shared" si="26"/>
        <v>4</v>
      </c>
      <c r="M191" s="16">
        <f>0.12*0.312*0.007*7850</f>
        <v>2.0573280000000005</v>
      </c>
      <c r="N191" s="18">
        <f t="shared" si="27"/>
        <v>8.2293120000000025E-3</v>
      </c>
      <c r="O191" s="16">
        <f>0.12*2*0.312</f>
        <v>7.4880000000000002E-2</v>
      </c>
      <c r="P191" s="18">
        <f t="shared" si="28"/>
        <v>0.29952000000000001</v>
      </c>
    </row>
    <row r="192" spans="1:16" ht="24">
      <c r="A192" s="12">
        <v>191</v>
      </c>
      <c r="B192" s="2" t="s">
        <v>352</v>
      </c>
      <c r="C192" s="2" t="s">
        <v>398</v>
      </c>
      <c r="D192" s="1" t="s">
        <v>39</v>
      </c>
      <c r="E192" s="13" t="s">
        <v>828</v>
      </c>
      <c r="F192" s="2" t="s">
        <v>263</v>
      </c>
      <c r="G192" s="12" t="s">
        <v>824</v>
      </c>
      <c r="H192" s="14" t="s">
        <v>823</v>
      </c>
      <c r="I192" s="3" t="s">
        <v>256</v>
      </c>
      <c r="J192" s="16">
        <f>JG</f>
        <v>36</v>
      </c>
      <c r="K192" s="13">
        <v>1</v>
      </c>
      <c r="L192" s="16">
        <f t="shared" si="26"/>
        <v>36</v>
      </c>
      <c r="M192" s="16">
        <f>0.145*0.358*0.007*7850</f>
        <v>2.8524544999999999</v>
      </c>
      <c r="N192" s="18">
        <f t="shared" si="27"/>
        <v>0.10268836200000001</v>
      </c>
      <c r="O192" s="16">
        <f>0.145*2*0.358</f>
        <v>0.10381999999999998</v>
      </c>
      <c r="P192" s="18">
        <f t="shared" si="28"/>
        <v>3.7375199999999995</v>
      </c>
    </row>
    <row r="193" spans="1:17" ht="24">
      <c r="A193" s="12">
        <v>192</v>
      </c>
      <c r="B193" s="2" t="s">
        <v>352</v>
      </c>
      <c r="C193" s="2" t="s">
        <v>398</v>
      </c>
      <c r="D193" s="1" t="s">
        <v>39</v>
      </c>
      <c r="E193" s="13" t="s">
        <v>828</v>
      </c>
      <c r="F193" s="2" t="s">
        <v>304</v>
      </c>
      <c r="G193" s="12" t="s">
        <v>824</v>
      </c>
      <c r="H193" s="14" t="s">
        <v>823</v>
      </c>
      <c r="I193" s="3" t="s">
        <v>301</v>
      </c>
      <c r="J193" s="16">
        <f>JG</f>
        <v>8</v>
      </c>
      <c r="K193" s="13">
        <v>1</v>
      </c>
      <c r="L193" s="16">
        <f t="shared" si="26"/>
        <v>8</v>
      </c>
      <c r="M193" s="16">
        <f>0.084*0.328*0.007*7850</f>
        <v>1.5139824000000002</v>
      </c>
      <c r="N193" s="18">
        <f t="shared" si="27"/>
        <v>1.2111859200000002E-2</v>
      </c>
      <c r="O193" s="16">
        <f>0.084*2*0.328</f>
        <v>5.5104000000000007E-2</v>
      </c>
      <c r="P193" s="18">
        <f t="shared" si="28"/>
        <v>0.44083200000000006</v>
      </c>
    </row>
    <row r="194" spans="1:17" ht="24">
      <c r="A194" s="12">
        <v>193</v>
      </c>
      <c r="B194" s="2" t="s">
        <v>352</v>
      </c>
      <c r="C194" s="2" t="s">
        <v>398</v>
      </c>
      <c r="D194" s="1" t="s">
        <v>39</v>
      </c>
      <c r="E194" s="13" t="s">
        <v>828</v>
      </c>
      <c r="F194" s="2" t="s">
        <v>386</v>
      </c>
      <c r="G194" s="12" t="s">
        <v>824</v>
      </c>
      <c r="H194" s="14" t="s">
        <v>823</v>
      </c>
      <c r="I194" s="3" t="s">
        <v>301</v>
      </c>
      <c r="J194" s="16">
        <f>JG</f>
        <v>8</v>
      </c>
      <c r="K194" s="13">
        <v>1</v>
      </c>
      <c r="L194" s="16">
        <f t="shared" si="26"/>
        <v>8</v>
      </c>
      <c r="M194" s="16">
        <f>0.096*0.374*0.007*7850</f>
        <v>1.9729247999999999</v>
      </c>
      <c r="N194" s="18">
        <f t="shared" si="27"/>
        <v>1.5783398399999999E-2</v>
      </c>
      <c r="O194" s="16">
        <f>0.096*2*0.374</f>
        <v>7.1807999999999997E-2</v>
      </c>
      <c r="P194" s="18">
        <f t="shared" si="28"/>
        <v>0.57446399999999997</v>
      </c>
    </row>
    <row r="195" spans="1:17" ht="24">
      <c r="A195" s="12">
        <v>194</v>
      </c>
      <c r="B195" s="2" t="s">
        <v>352</v>
      </c>
      <c r="C195" s="2" t="s">
        <v>398</v>
      </c>
      <c r="D195" s="1" t="s">
        <v>419</v>
      </c>
      <c r="E195" s="13" t="s">
        <v>827</v>
      </c>
      <c r="F195" s="2" t="s">
        <v>420</v>
      </c>
      <c r="G195" s="12" t="s">
        <v>824</v>
      </c>
      <c r="H195" s="14" t="s">
        <v>823</v>
      </c>
      <c r="I195" s="3">
        <v>6</v>
      </c>
      <c r="J195" s="16">
        <f>JG</f>
        <v>6</v>
      </c>
      <c r="K195" s="13">
        <v>4</v>
      </c>
      <c r="L195" s="16">
        <f t="shared" si="26"/>
        <v>24</v>
      </c>
      <c r="M195" s="16">
        <v>49.4</v>
      </c>
      <c r="N195" s="18">
        <f t="shared" si="27"/>
        <v>1.1856</v>
      </c>
      <c r="O195" s="16">
        <v>1.36</v>
      </c>
      <c r="P195" s="18">
        <f t="shared" si="28"/>
        <v>32.64</v>
      </c>
    </row>
    <row r="196" spans="1:17" ht="24">
      <c r="A196" s="12">
        <v>195</v>
      </c>
      <c r="B196" s="2" t="s">
        <v>352</v>
      </c>
      <c r="C196" s="2" t="s">
        <v>398</v>
      </c>
      <c r="D196" s="1" t="s">
        <v>346</v>
      </c>
      <c r="E196" s="13" t="s">
        <v>827</v>
      </c>
      <c r="F196" s="2" t="s">
        <v>347</v>
      </c>
      <c r="G196" s="12" t="s">
        <v>824</v>
      </c>
      <c r="H196" s="14" t="s">
        <v>823</v>
      </c>
      <c r="I196" s="3">
        <v>7</v>
      </c>
      <c r="J196" s="16">
        <f>JG</f>
        <v>7</v>
      </c>
      <c r="K196" s="13">
        <v>2</v>
      </c>
      <c r="L196" s="16">
        <f t="shared" ref="L196:L226" si="29">J196*K196</f>
        <v>14</v>
      </c>
      <c r="M196" s="16">
        <v>65.400000000000006</v>
      </c>
      <c r="N196" s="18">
        <f t="shared" ref="N196:N226" si="30">L196*M196*0.001</f>
        <v>0.91560000000000019</v>
      </c>
      <c r="O196" s="16">
        <v>1.56</v>
      </c>
      <c r="P196" s="18">
        <f t="shared" ref="P196:P226" si="31">O196*L196</f>
        <v>21.84</v>
      </c>
    </row>
    <row r="197" spans="1:17" ht="24">
      <c r="A197" s="12">
        <v>196</v>
      </c>
      <c r="B197" s="2" t="s">
        <v>352</v>
      </c>
      <c r="C197" s="2" t="s">
        <v>398</v>
      </c>
      <c r="D197" s="1" t="s">
        <v>390</v>
      </c>
      <c r="E197" s="13" t="s">
        <v>830</v>
      </c>
      <c r="F197" s="2" t="s">
        <v>391</v>
      </c>
      <c r="G197" s="12" t="s">
        <v>824</v>
      </c>
      <c r="H197" s="14" t="s">
        <v>823</v>
      </c>
      <c r="I197" s="3" t="s">
        <v>396</v>
      </c>
      <c r="J197" s="16">
        <f>JG</f>
        <v>5.4083269131959844</v>
      </c>
      <c r="K197" s="13">
        <v>10</v>
      </c>
      <c r="L197" s="16">
        <f t="shared" si="29"/>
        <v>54.083269131959845</v>
      </c>
      <c r="M197" s="16">
        <v>18.399999999999999</v>
      </c>
      <c r="N197" s="18">
        <f t="shared" si="30"/>
        <v>0.99513215202806116</v>
      </c>
      <c r="O197" s="16">
        <v>0.58899999999999997</v>
      </c>
      <c r="P197" s="18">
        <f t="shared" si="31"/>
        <v>31.855045518724346</v>
      </c>
    </row>
    <row r="198" spans="1:17" ht="24">
      <c r="A198" s="12">
        <v>197</v>
      </c>
      <c r="C198" s="2" t="s">
        <v>427</v>
      </c>
      <c r="D198" s="1" t="s">
        <v>81</v>
      </c>
      <c r="E198" s="13" t="s">
        <v>827</v>
      </c>
      <c r="F198" s="2" t="s">
        <v>82</v>
      </c>
      <c r="G198" s="12" t="s">
        <v>824</v>
      </c>
      <c r="H198" s="14" t="s">
        <v>823</v>
      </c>
      <c r="I198" s="3" t="s">
        <v>84</v>
      </c>
      <c r="J198" s="16">
        <f>JG</f>
        <v>6.9526973183074787</v>
      </c>
      <c r="K198" s="13">
        <v>4</v>
      </c>
      <c r="L198" s="16">
        <f t="shared" si="29"/>
        <v>27.810789273229915</v>
      </c>
      <c r="M198" s="16">
        <v>56.2</v>
      </c>
      <c r="N198" s="18">
        <f t="shared" si="30"/>
        <v>1.5629663571555215</v>
      </c>
      <c r="O198" s="16">
        <v>1.17</v>
      </c>
      <c r="P198" s="18">
        <f t="shared" si="31"/>
        <v>32.538623449679001</v>
      </c>
      <c r="Q198" s="13" t="s">
        <v>85</v>
      </c>
    </row>
    <row r="199" spans="1:17" ht="24">
      <c r="A199" s="12">
        <v>198</v>
      </c>
      <c r="C199" s="2" t="s">
        <v>427</v>
      </c>
      <c r="D199" s="1" t="s">
        <v>81</v>
      </c>
      <c r="E199" s="13" t="s">
        <v>827</v>
      </c>
      <c r="F199" s="2" t="s">
        <v>82</v>
      </c>
      <c r="G199" s="12" t="s">
        <v>824</v>
      </c>
      <c r="H199" s="14" t="s">
        <v>823</v>
      </c>
      <c r="I199" s="3" t="s">
        <v>430</v>
      </c>
      <c r="J199" s="16">
        <f>JG</f>
        <v>7.4953318805774041</v>
      </c>
      <c r="K199" s="13">
        <v>2</v>
      </c>
      <c r="L199" s="16">
        <f t="shared" si="29"/>
        <v>14.990663761154808</v>
      </c>
      <c r="M199" s="16">
        <v>56.2</v>
      </c>
      <c r="N199" s="18">
        <f t="shared" si="30"/>
        <v>0.84247530337690024</v>
      </c>
      <c r="O199" s="16">
        <v>1.17</v>
      </c>
      <c r="P199" s="18">
        <f t="shared" si="31"/>
        <v>17.539076600551123</v>
      </c>
      <c r="Q199" s="13" t="s">
        <v>85</v>
      </c>
    </row>
    <row r="200" spans="1:17" ht="24">
      <c r="A200" s="12">
        <v>199</v>
      </c>
      <c r="C200" s="2" t="s">
        <v>427</v>
      </c>
      <c r="D200" s="1" t="s">
        <v>81</v>
      </c>
      <c r="E200" s="13" t="s">
        <v>827</v>
      </c>
      <c r="F200" s="2" t="s">
        <v>82</v>
      </c>
      <c r="G200" s="12" t="s">
        <v>824</v>
      </c>
      <c r="H200" s="14" t="s">
        <v>823</v>
      </c>
      <c r="I200" s="3" t="s">
        <v>431</v>
      </c>
      <c r="J200" s="16">
        <f>JG</f>
        <v>8.780091115700337</v>
      </c>
      <c r="K200" s="13">
        <v>2</v>
      </c>
      <c r="L200" s="16">
        <f t="shared" si="29"/>
        <v>17.560182231400674</v>
      </c>
      <c r="M200" s="16">
        <v>56.2</v>
      </c>
      <c r="N200" s="18">
        <f t="shared" si="30"/>
        <v>0.98688224140471792</v>
      </c>
      <c r="O200" s="16">
        <v>1.17</v>
      </c>
      <c r="P200" s="18">
        <f t="shared" si="31"/>
        <v>20.545413210738786</v>
      </c>
      <c r="Q200" s="13" t="s">
        <v>85</v>
      </c>
    </row>
    <row r="201" spans="1:17" ht="24">
      <c r="A201" s="12">
        <v>200</v>
      </c>
      <c r="C201" s="2" t="s">
        <v>432</v>
      </c>
      <c r="D201" s="1" t="s">
        <v>81</v>
      </c>
      <c r="E201" s="13" t="s">
        <v>827</v>
      </c>
      <c r="F201" s="2" t="s">
        <v>82</v>
      </c>
      <c r="G201" s="12" t="s">
        <v>824</v>
      </c>
      <c r="H201" s="14" t="s">
        <v>823</v>
      </c>
      <c r="I201" s="3" t="s">
        <v>84</v>
      </c>
      <c r="J201" s="16">
        <f>JG</f>
        <v>6.9526973183074787</v>
      </c>
      <c r="K201" s="13">
        <v>4</v>
      </c>
      <c r="L201" s="16">
        <f t="shared" si="29"/>
        <v>27.810789273229915</v>
      </c>
      <c r="M201" s="16">
        <v>56.2</v>
      </c>
      <c r="N201" s="18">
        <f t="shared" si="30"/>
        <v>1.5629663571555215</v>
      </c>
      <c r="O201" s="16">
        <v>1.17</v>
      </c>
      <c r="P201" s="18">
        <f t="shared" si="31"/>
        <v>32.538623449679001</v>
      </c>
      <c r="Q201" s="13" t="s">
        <v>85</v>
      </c>
    </row>
    <row r="202" spans="1:17" ht="24">
      <c r="A202" s="12">
        <v>201</v>
      </c>
      <c r="C202" s="2" t="s">
        <v>432</v>
      </c>
      <c r="D202" s="1" t="s">
        <v>81</v>
      </c>
      <c r="E202" s="13" t="s">
        <v>827</v>
      </c>
      <c r="F202" s="2" t="s">
        <v>82</v>
      </c>
      <c r="G202" s="12" t="s">
        <v>824</v>
      </c>
      <c r="H202" s="14" t="s">
        <v>823</v>
      </c>
      <c r="I202" s="3" t="s">
        <v>433</v>
      </c>
      <c r="J202" s="16">
        <f>JG</f>
        <v>8.0056230238501733</v>
      </c>
      <c r="K202" s="13">
        <v>2</v>
      </c>
      <c r="L202" s="16">
        <f t="shared" si="29"/>
        <v>16.011246047700347</v>
      </c>
      <c r="M202" s="16">
        <v>56.2</v>
      </c>
      <c r="N202" s="18">
        <f t="shared" si="30"/>
        <v>0.89983202788075956</v>
      </c>
      <c r="O202" s="16">
        <v>1.17</v>
      </c>
      <c r="P202" s="18">
        <f t="shared" si="31"/>
        <v>18.733157875809404</v>
      </c>
      <c r="Q202" s="13" t="s">
        <v>85</v>
      </c>
    </row>
    <row r="203" spans="1:17" ht="24">
      <c r="A203" s="12">
        <v>202</v>
      </c>
      <c r="B203" s="2" t="s">
        <v>272</v>
      </c>
      <c r="C203" s="2" t="s">
        <v>435</v>
      </c>
      <c r="D203" s="1" t="s">
        <v>438</v>
      </c>
      <c r="E203" s="13" t="s">
        <v>827</v>
      </c>
      <c r="F203" s="2" t="s">
        <v>440</v>
      </c>
      <c r="G203" s="12" t="s">
        <v>824</v>
      </c>
      <c r="H203" s="14" t="s">
        <v>823</v>
      </c>
      <c r="I203" s="3">
        <v>7</v>
      </c>
      <c r="J203" s="16">
        <f>JG</f>
        <v>7</v>
      </c>
      <c r="K203" s="13">
        <v>1</v>
      </c>
      <c r="L203" s="16">
        <f t="shared" si="29"/>
        <v>7</v>
      </c>
      <c r="M203" s="16">
        <v>43.6</v>
      </c>
      <c r="N203" s="18">
        <f t="shared" si="30"/>
        <v>0.30519999999999997</v>
      </c>
      <c r="O203" s="16">
        <v>1.1499999999999999</v>
      </c>
      <c r="P203" s="18">
        <f t="shared" si="31"/>
        <v>8.0499999999999989</v>
      </c>
    </row>
    <row r="204" spans="1:17" ht="24">
      <c r="A204" s="12">
        <v>203</v>
      </c>
      <c r="B204" s="2" t="s">
        <v>272</v>
      </c>
      <c r="C204" s="2" t="s">
        <v>435</v>
      </c>
      <c r="D204" s="1" t="s">
        <v>441</v>
      </c>
      <c r="E204" s="13" t="s">
        <v>827</v>
      </c>
      <c r="F204" s="2" t="s">
        <v>442</v>
      </c>
      <c r="G204" s="12" t="s">
        <v>824</v>
      </c>
      <c r="H204" s="14" t="s">
        <v>823</v>
      </c>
      <c r="I204" s="3">
        <v>9</v>
      </c>
      <c r="J204" s="16">
        <f>JG</f>
        <v>9</v>
      </c>
      <c r="K204" s="13">
        <v>1</v>
      </c>
      <c r="L204" s="16">
        <f t="shared" si="29"/>
        <v>9</v>
      </c>
      <c r="M204" s="16">
        <v>55.8</v>
      </c>
      <c r="N204" s="18">
        <f t="shared" si="30"/>
        <v>0.50219999999999998</v>
      </c>
      <c r="O204" s="16">
        <v>1.35</v>
      </c>
      <c r="P204" s="18">
        <f t="shared" si="31"/>
        <v>12.15</v>
      </c>
    </row>
    <row r="205" spans="1:17" ht="24">
      <c r="A205" s="12">
        <v>204</v>
      </c>
      <c r="C205" s="2" t="s">
        <v>435</v>
      </c>
      <c r="D205" s="1" t="s">
        <v>81</v>
      </c>
      <c r="E205" s="13" t="s">
        <v>827</v>
      </c>
      <c r="F205" s="2" t="s">
        <v>82</v>
      </c>
      <c r="G205" s="12" t="s">
        <v>824</v>
      </c>
      <c r="H205" s="14" t="s">
        <v>823</v>
      </c>
      <c r="I205" s="3" t="s">
        <v>436</v>
      </c>
      <c r="J205" s="16">
        <f>JG</f>
        <v>6.9526973183074787</v>
      </c>
      <c r="K205" s="13">
        <v>4</v>
      </c>
      <c r="L205" s="16">
        <f t="shared" si="29"/>
        <v>27.810789273229915</v>
      </c>
      <c r="M205" s="16">
        <v>56.2</v>
      </c>
      <c r="N205" s="18">
        <f t="shared" si="30"/>
        <v>1.5629663571555215</v>
      </c>
      <c r="O205" s="16">
        <v>1.17</v>
      </c>
      <c r="P205" s="18">
        <f t="shared" si="31"/>
        <v>32.538623449679001</v>
      </c>
      <c r="Q205" s="13" t="s">
        <v>85</v>
      </c>
    </row>
    <row r="206" spans="1:17" ht="24">
      <c r="A206" s="12">
        <v>205</v>
      </c>
      <c r="C206" s="2" t="s">
        <v>435</v>
      </c>
      <c r="D206" s="1" t="s">
        <v>81</v>
      </c>
      <c r="E206" s="13" t="s">
        <v>827</v>
      </c>
      <c r="F206" s="2" t="s">
        <v>82</v>
      </c>
      <c r="G206" s="12" t="s">
        <v>824</v>
      </c>
      <c r="H206" s="14" t="s">
        <v>823</v>
      </c>
      <c r="I206" s="3" t="s">
        <v>430</v>
      </c>
      <c r="J206" s="16">
        <f>JG</f>
        <v>7.4953318805774041</v>
      </c>
      <c r="K206" s="13">
        <v>2</v>
      </c>
      <c r="L206" s="16">
        <f t="shared" si="29"/>
        <v>14.990663761154808</v>
      </c>
      <c r="M206" s="16">
        <v>56.2</v>
      </c>
      <c r="N206" s="18">
        <f t="shared" si="30"/>
        <v>0.84247530337690024</v>
      </c>
      <c r="O206" s="16">
        <v>1.17</v>
      </c>
      <c r="P206" s="18">
        <f t="shared" si="31"/>
        <v>17.539076600551123</v>
      </c>
      <c r="Q206" s="13" t="s">
        <v>85</v>
      </c>
    </row>
    <row r="207" spans="1:17" ht="24">
      <c r="A207" s="12">
        <v>206</v>
      </c>
      <c r="C207" s="2" t="s">
        <v>435</v>
      </c>
      <c r="D207" s="1" t="s">
        <v>81</v>
      </c>
      <c r="E207" s="13" t="s">
        <v>827</v>
      </c>
      <c r="F207" s="2" t="s">
        <v>82</v>
      </c>
      <c r="G207" s="12" t="s">
        <v>824</v>
      </c>
      <c r="H207" s="14" t="s">
        <v>823</v>
      </c>
      <c r="I207" s="3" t="s">
        <v>437</v>
      </c>
      <c r="J207" s="16">
        <f>JG</f>
        <v>6.3513778032801671</v>
      </c>
      <c r="K207" s="13">
        <v>2</v>
      </c>
      <c r="L207" s="16">
        <f t="shared" si="29"/>
        <v>12.702755606560334</v>
      </c>
      <c r="M207" s="16">
        <v>56.2</v>
      </c>
      <c r="N207" s="18">
        <f t="shared" si="30"/>
        <v>0.71389486508869082</v>
      </c>
      <c r="O207" s="16">
        <v>1.17</v>
      </c>
      <c r="P207" s="18">
        <f t="shared" si="31"/>
        <v>14.86222405967559</v>
      </c>
      <c r="Q207" s="13" t="s">
        <v>85</v>
      </c>
    </row>
    <row r="208" spans="1:17" ht="24">
      <c r="A208" s="12">
        <v>207</v>
      </c>
      <c r="B208" s="2" t="s">
        <v>316</v>
      </c>
      <c r="C208" s="2" t="s">
        <v>443</v>
      </c>
      <c r="D208" s="1" t="s">
        <v>438</v>
      </c>
      <c r="E208" s="13" t="s">
        <v>827</v>
      </c>
      <c r="F208" s="2" t="s">
        <v>440</v>
      </c>
      <c r="G208" s="12" t="s">
        <v>824</v>
      </c>
      <c r="H208" s="14" t="s">
        <v>823</v>
      </c>
      <c r="I208" s="3">
        <v>9</v>
      </c>
      <c r="J208" s="16">
        <f>JG</f>
        <v>9</v>
      </c>
      <c r="K208" s="13">
        <v>1</v>
      </c>
      <c r="L208" s="16">
        <f t="shared" si="29"/>
        <v>9</v>
      </c>
      <c r="M208" s="16">
        <v>43.6</v>
      </c>
      <c r="N208" s="18">
        <f t="shared" si="30"/>
        <v>0.39240000000000003</v>
      </c>
      <c r="O208" s="16">
        <v>1.1499999999999999</v>
      </c>
      <c r="P208" s="18">
        <f t="shared" si="31"/>
        <v>10.35</v>
      </c>
    </row>
    <row r="209" spans="1:17" ht="24">
      <c r="A209" s="12">
        <v>208</v>
      </c>
      <c r="B209" s="2" t="s">
        <v>272</v>
      </c>
      <c r="C209" s="2" t="s">
        <v>443</v>
      </c>
      <c r="D209" s="1" t="s">
        <v>359</v>
      </c>
      <c r="E209" s="13" t="s">
        <v>827</v>
      </c>
      <c r="F209" s="2" t="s">
        <v>444</v>
      </c>
      <c r="G209" s="12" t="s">
        <v>824</v>
      </c>
      <c r="H209" s="14" t="s">
        <v>823</v>
      </c>
      <c r="I209" s="3">
        <v>5</v>
      </c>
      <c r="J209" s="16">
        <f>JG</f>
        <v>5</v>
      </c>
      <c r="K209" s="13">
        <v>1</v>
      </c>
      <c r="L209" s="16">
        <f t="shared" si="29"/>
        <v>5</v>
      </c>
      <c r="M209" s="16">
        <v>36.700000000000003</v>
      </c>
      <c r="N209" s="18">
        <f t="shared" si="30"/>
        <v>0.1835</v>
      </c>
      <c r="O209" s="16">
        <v>1.1599999999999999</v>
      </c>
      <c r="P209" s="18">
        <f t="shared" si="31"/>
        <v>5.8</v>
      </c>
    </row>
    <row r="210" spans="1:17" ht="24">
      <c r="A210" s="12">
        <v>209</v>
      </c>
      <c r="C210" s="2" t="s">
        <v>443</v>
      </c>
      <c r="D210" s="1" t="s">
        <v>81</v>
      </c>
      <c r="E210" s="13" t="s">
        <v>827</v>
      </c>
      <c r="F210" s="2" t="s">
        <v>82</v>
      </c>
      <c r="G210" s="12" t="s">
        <v>824</v>
      </c>
      <c r="H210" s="14" t="s">
        <v>823</v>
      </c>
      <c r="I210" s="3" t="s">
        <v>445</v>
      </c>
      <c r="J210" s="16">
        <f>JG</f>
        <v>6.9526973183074787</v>
      </c>
      <c r="K210" s="13">
        <v>2</v>
      </c>
      <c r="L210" s="16">
        <f t="shared" si="29"/>
        <v>13.905394636614957</v>
      </c>
      <c r="M210" s="16">
        <v>56.2</v>
      </c>
      <c r="N210" s="18">
        <f t="shared" si="30"/>
        <v>0.78148317857776073</v>
      </c>
      <c r="O210" s="16">
        <v>1.17</v>
      </c>
      <c r="P210" s="18">
        <f t="shared" si="31"/>
        <v>16.2693117248395</v>
      </c>
      <c r="Q210" s="13" t="s">
        <v>85</v>
      </c>
    </row>
    <row r="211" spans="1:17" ht="24">
      <c r="A211" s="12">
        <v>210</v>
      </c>
      <c r="C211" s="2" t="s">
        <v>443</v>
      </c>
      <c r="D211" s="1" t="s">
        <v>81</v>
      </c>
      <c r="E211" s="13" t="s">
        <v>827</v>
      </c>
      <c r="F211" s="2" t="s">
        <v>82</v>
      </c>
      <c r="G211" s="12" t="s">
        <v>824</v>
      </c>
      <c r="H211" s="14" t="s">
        <v>823</v>
      </c>
      <c r="I211" s="3" t="s">
        <v>446</v>
      </c>
      <c r="J211" s="16">
        <f>JG</f>
        <v>8.0056230238501733</v>
      </c>
      <c r="K211" s="13">
        <v>2</v>
      </c>
      <c r="L211" s="16">
        <f t="shared" si="29"/>
        <v>16.011246047700347</v>
      </c>
      <c r="M211" s="16">
        <v>56.2</v>
      </c>
      <c r="N211" s="18">
        <f t="shared" si="30"/>
        <v>0.89983202788075956</v>
      </c>
      <c r="O211" s="16">
        <v>1.17</v>
      </c>
      <c r="P211" s="18">
        <f t="shared" si="31"/>
        <v>18.733157875809404</v>
      </c>
      <c r="Q211" s="13" t="s">
        <v>85</v>
      </c>
    </row>
    <row r="212" spans="1:17" ht="24">
      <c r="A212" s="12">
        <v>211</v>
      </c>
      <c r="C212" s="2" t="s">
        <v>447</v>
      </c>
      <c r="D212" s="1" t="s">
        <v>81</v>
      </c>
      <c r="E212" s="13" t="s">
        <v>827</v>
      </c>
      <c r="F212" s="2" t="s">
        <v>82</v>
      </c>
      <c r="G212" s="12" t="s">
        <v>824</v>
      </c>
      <c r="H212" s="14" t="s">
        <v>823</v>
      </c>
      <c r="I212" s="3" t="s">
        <v>445</v>
      </c>
      <c r="J212" s="16">
        <f>JG</f>
        <v>6.9526973183074787</v>
      </c>
      <c r="K212" s="13">
        <v>2</v>
      </c>
      <c r="L212" s="16">
        <f t="shared" si="29"/>
        <v>13.905394636614957</v>
      </c>
      <c r="M212" s="16">
        <v>56.2</v>
      </c>
      <c r="N212" s="18">
        <f t="shared" si="30"/>
        <v>0.78148317857776073</v>
      </c>
      <c r="O212" s="16">
        <v>1.17</v>
      </c>
      <c r="P212" s="18">
        <f t="shared" si="31"/>
        <v>16.2693117248395</v>
      </c>
      <c r="Q212" s="13" t="s">
        <v>85</v>
      </c>
    </row>
    <row r="213" spans="1:17" ht="24">
      <c r="A213" s="12">
        <v>212</v>
      </c>
      <c r="C213" s="2" t="s">
        <v>456</v>
      </c>
      <c r="D213" s="1" t="s">
        <v>448</v>
      </c>
      <c r="E213" s="13" t="s">
        <v>827</v>
      </c>
      <c r="F213" s="2" t="s">
        <v>449</v>
      </c>
      <c r="G213" s="12" t="s">
        <v>824</v>
      </c>
      <c r="H213" s="14" t="s">
        <v>823</v>
      </c>
      <c r="I213" s="3" t="s">
        <v>451</v>
      </c>
      <c r="J213" s="16">
        <f>JG</f>
        <v>9.0686272390037068</v>
      </c>
      <c r="K213" s="13">
        <v>2</v>
      </c>
      <c r="L213" s="16">
        <f t="shared" si="29"/>
        <v>18.137254478007414</v>
      </c>
      <c r="M213" s="16">
        <v>71.8</v>
      </c>
      <c r="N213" s="18">
        <f t="shared" si="30"/>
        <v>1.3022548715209323</v>
      </c>
      <c r="O213" s="16">
        <v>1.46</v>
      </c>
      <c r="P213" s="18">
        <f t="shared" si="31"/>
        <v>26.480391537890824</v>
      </c>
      <c r="Q213" s="13" t="s">
        <v>85</v>
      </c>
    </row>
    <row r="214" spans="1:17" ht="24">
      <c r="A214" s="12">
        <v>213</v>
      </c>
      <c r="C214" s="2" t="s">
        <v>456</v>
      </c>
      <c r="D214" s="1" t="s">
        <v>448</v>
      </c>
      <c r="E214" s="13" t="s">
        <v>827</v>
      </c>
      <c r="F214" s="2" t="s">
        <v>449</v>
      </c>
      <c r="G214" s="12" t="s">
        <v>824</v>
      </c>
      <c r="H214" s="14" t="s">
        <v>823</v>
      </c>
      <c r="I214" s="3" t="s">
        <v>452</v>
      </c>
      <c r="J214" s="16">
        <f>JG</f>
        <v>9.7590983190046821</v>
      </c>
      <c r="K214" s="13">
        <v>2</v>
      </c>
      <c r="L214" s="16">
        <f t="shared" si="29"/>
        <v>19.518196638009364</v>
      </c>
      <c r="M214" s="16">
        <v>71.8</v>
      </c>
      <c r="N214" s="18">
        <f t="shared" si="30"/>
        <v>1.4014065186090723</v>
      </c>
      <c r="O214" s="16">
        <v>1.46</v>
      </c>
      <c r="P214" s="18">
        <f t="shared" si="31"/>
        <v>28.49656709149367</v>
      </c>
      <c r="Q214" s="13" t="s">
        <v>85</v>
      </c>
    </row>
    <row r="215" spans="1:17" ht="24">
      <c r="A215" s="12">
        <v>214</v>
      </c>
      <c r="C215" s="2" t="s">
        <v>456</v>
      </c>
      <c r="D215" s="1" t="s">
        <v>453</v>
      </c>
      <c r="E215" s="13" t="s">
        <v>827</v>
      </c>
      <c r="F215" s="2" t="s">
        <v>454</v>
      </c>
      <c r="G215" s="12" t="s">
        <v>824</v>
      </c>
      <c r="H215" s="14" t="s">
        <v>823</v>
      </c>
      <c r="I215" s="3" t="s">
        <v>455</v>
      </c>
      <c r="J215" s="16">
        <f>JG</f>
        <v>11.280070921762858</v>
      </c>
      <c r="K215" s="13">
        <v>4</v>
      </c>
      <c r="L215" s="16">
        <f t="shared" si="29"/>
        <v>45.120283687051433</v>
      </c>
      <c r="M215" s="16">
        <v>93</v>
      </c>
      <c r="N215" s="18">
        <f t="shared" si="30"/>
        <v>4.1961863828957835</v>
      </c>
      <c r="O215" s="16">
        <v>1.76</v>
      </c>
      <c r="P215" s="18">
        <f t="shared" si="31"/>
        <v>79.411699289210517</v>
      </c>
      <c r="Q215" s="13" t="s">
        <v>85</v>
      </c>
    </row>
    <row r="216" spans="1:17" ht="24">
      <c r="A216" s="12">
        <v>215</v>
      </c>
      <c r="C216" s="2" t="s">
        <v>457</v>
      </c>
      <c r="D216" s="1" t="s">
        <v>448</v>
      </c>
      <c r="E216" s="13" t="s">
        <v>827</v>
      </c>
      <c r="F216" s="2" t="s">
        <v>449</v>
      </c>
      <c r="G216" s="12" t="s">
        <v>824</v>
      </c>
      <c r="H216" s="14" t="s">
        <v>823</v>
      </c>
      <c r="I216" s="3" t="s">
        <v>458</v>
      </c>
      <c r="J216" s="16">
        <f>JG</f>
        <v>9.0686272390037068</v>
      </c>
      <c r="K216" s="13">
        <v>2</v>
      </c>
      <c r="L216" s="16">
        <f t="shared" si="29"/>
        <v>18.137254478007414</v>
      </c>
      <c r="M216" s="16">
        <v>71.8</v>
      </c>
      <c r="N216" s="18">
        <f t="shared" si="30"/>
        <v>1.3022548715209323</v>
      </c>
      <c r="O216" s="16">
        <v>1.46</v>
      </c>
      <c r="P216" s="18">
        <f t="shared" si="31"/>
        <v>26.480391537890824</v>
      </c>
      <c r="Q216" s="13" t="s">
        <v>85</v>
      </c>
    </row>
    <row r="217" spans="1:17" ht="24">
      <c r="A217" s="12">
        <v>216</v>
      </c>
      <c r="C217" s="2" t="s">
        <v>457</v>
      </c>
      <c r="D217" s="1" t="s">
        <v>448</v>
      </c>
      <c r="E217" s="13" t="s">
        <v>827</v>
      </c>
      <c r="F217" s="2" t="s">
        <v>449</v>
      </c>
      <c r="G217" s="12" t="s">
        <v>824</v>
      </c>
      <c r="H217" s="14" t="s">
        <v>823</v>
      </c>
      <c r="I217" s="3" t="s">
        <v>452</v>
      </c>
      <c r="J217" s="16">
        <f>JG</f>
        <v>9.7590983190046821</v>
      </c>
      <c r="K217" s="13">
        <v>2</v>
      </c>
      <c r="L217" s="16">
        <f t="shared" si="29"/>
        <v>19.518196638009364</v>
      </c>
      <c r="M217" s="16">
        <v>71.8</v>
      </c>
      <c r="N217" s="18">
        <f t="shared" si="30"/>
        <v>1.4014065186090723</v>
      </c>
      <c r="O217" s="16">
        <v>1.46</v>
      </c>
      <c r="P217" s="18">
        <f t="shared" si="31"/>
        <v>28.49656709149367</v>
      </c>
      <c r="Q217" s="13" t="s">
        <v>85</v>
      </c>
    </row>
    <row r="218" spans="1:17" ht="24">
      <c r="A218" s="12">
        <v>217</v>
      </c>
      <c r="C218" s="2" t="s">
        <v>459</v>
      </c>
      <c r="D218" s="1" t="s">
        <v>453</v>
      </c>
      <c r="E218" s="13" t="s">
        <v>827</v>
      </c>
      <c r="F218" s="2" t="s">
        <v>454</v>
      </c>
      <c r="G218" s="12" t="s">
        <v>824</v>
      </c>
      <c r="H218" s="14" t="s">
        <v>823</v>
      </c>
      <c r="I218" s="3" t="s">
        <v>455</v>
      </c>
      <c r="J218" s="16">
        <f>JG</f>
        <v>11.280070921762858</v>
      </c>
      <c r="K218" s="13">
        <v>4</v>
      </c>
      <c r="L218" s="16">
        <f t="shared" si="29"/>
        <v>45.120283687051433</v>
      </c>
      <c r="M218" s="16">
        <v>93</v>
      </c>
      <c r="N218" s="18">
        <f t="shared" si="30"/>
        <v>4.1961863828957835</v>
      </c>
      <c r="O218" s="16">
        <v>1.76</v>
      </c>
      <c r="P218" s="18">
        <f t="shared" si="31"/>
        <v>79.411699289210517</v>
      </c>
      <c r="Q218" s="13" t="s">
        <v>85</v>
      </c>
    </row>
    <row r="219" spans="1:17">
      <c r="A219" s="12">
        <v>218</v>
      </c>
      <c r="C219" s="2" t="s">
        <v>460</v>
      </c>
      <c r="D219" s="1" t="s">
        <v>462</v>
      </c>
      <c r="E219" s="13" t="s">
        <v>830</v>
      </c>
      <c r="F219" s="2" t="s">
        <v>464</v>
      </c>
      <c r="G219" s="12" t="s">
        <v>824</v>
      </c>
      <c r="H219" s="14" t="s">
        <v>823</v>
      </c>
      <c r="I219" s="3" t="s">
        <v>466</v>
      </c>
      <c r="J219" s="16">
        <f>JG</f>
        <v>2.4041630560342613</v>
      </c>
      <c r="K219" s="13">
        <v>1</v>
      </c>
      <c r="L219" s="16">
        <f t="shared" si="29"/>
        <v>2.4041630560342613</v>
      </c>
      <c r="M219" s="16">
        <v>10.5</v>
      </c>
      <c r="N219" s="18">
        <f t="shared" si="30"/>
        <v>2.5243712088359745E-2</v>
      </c>
      <c r="O219" s="16">
        <v>0.39300000000000002</v>
      </c>
      <c r="P219" s="18">
        <f t="shared" si="31"/>
        <v>0.94483608102146477</v>
      </c>
    </row>
    <row r="220" spans="1:17" ht="24">
      <c r="A220" s="12">
        <v>219</v>
      </c>
      <c r="C220" s="2" t="s">
        <v>460</v>
      </c>
      <c r="D220" s="1" t="s">
        <v>462</v>
      </c>
      <c r="E220" s="13" t="s">
        <v>830</v>
      </c>
      <c r="F220" s="2" t="s">
        <v>464</v>
      </c>
      <c r="G220" s="12" t="s">
        <v>824</v>
      </c>
      <c r="H220" s="14" t="s">
        <v>823</v>
      </c>
      <c r="I220" s="3" t="s">
        <v>468</v>
      </c>
      <c r="J220" s="16">
        <f>JG</f>
        <v>1.2727922061357855</v>
      </c>
      <c r="K220" s="13">
        <v>1</v>
      </c>
      <c r="L220" s="16">
        <f t="shared" si="29"/>
        <v>1.2727922061357855</v>
      </c>
      <c r="M220" s="16">
        <v>10.5</v>
      </c>
      <c r="N220" s="18">
        <f t="shared" si="30"/>
        <v>1.3364318164425747E-2</v>
      </c>
      <c r="O220" s="16">
        <v>0.39300000000000002</v>
      </c>
      <c r="P220" s="18">
        <f t="shared" si="31"/>
        <v>0.50020733701136366</v>
      </c>
    </row>
    <row r="221" spans="1:17">
      <c r="A221" s="12">
        <v>220</v>
      </c>
      <c r="C221" s="2" t="s">
        <v>469</v>
      </c>
      <c r="D221" s="1" t="s">
        <v>461</v>
      </c>
      <c r="E221" s="13" t="s">
        <v>830</v>
      </c>
      <c r="F221" s="2" t="s">
        <v>463</v>
      </c>
      <c r="G221" s="12" t="s">
        <v>824</v>
      </c>
      <c r="H221" s="14" t="s">
        <v>823</v>
      </c>
      <c r="I221" s="3" t="s">
        <v>465</v>
      </c>
      <c r="J221" s="16">
        <f>JG</f>
        <v>2.4041630560342613</v>
      </c>
      <c r="K221" s="13">
        <v>1</v>
      </c>
      <c r="L221" s="16">
        <f t="shared" si="29"/>
        <v>2.4041630560342613</v>
      </c>
      <c r="M221" s="16">
        <v>10.5</v>
      </c>
      <c r="N221" s="18">
        <f t="shared" si="30"/>
        <v>2.5243712088359745E-2</v>
      </c>
      <c r="O221" s="16">
        <v>0.39300000000000002</v>
      </c>
      <c r="P221" s="18">
        <f t="shared" si="31"/>
        <v>0.94483608102146477</v>
      </c>
    </row>
    <row r="222" spans="1:17" ht="24">
      <c r="A222" s="12">
        <v>221</v>
      </c>
      <c r="C222" s="2" t="s">
        <v>470</v>
      </c>
      <c r="D222" s="1" t="s">
        <v>461</v>
      </c>
      <c r="E222" s="13" t="s">
        <v>830</v>
      </c>
      <c r="F222" s="2" t="s">
        <v>463</v>
      </c>
      <c r="G222" s="12" t="s">
        <v>824</v>
      </c>
      <c r="H222" s="14" t="s">
        <v>823</v>
      </c>
      <c r="I222" s="3" t="s">
        <v>467</v>
      </c>
      <c r="J222" s="16">
        <f>JG</f>
        <v>1.2727922061357855</v>
      </c>
      <c r="K222" s="13">
        <v>1</v>
      </c>
      <c r="L222" s="16">
        <f t="shared" si="29"/>
        <v>1.2727922061357855</v>
      </c>
      <c r="M222" s="16">
        <v>10.5</v>
      </c>
      <c r="N222" s="18">
        <f t="shared" si="30"/>
        <v>1.3364318164425747E-2</v>
      </c>
      <c r="O222" s="16">
        <v>0.39300000000000002</v>
      </c>
      <c r="P222" s="18">
        <f t="shared" si="31"/>
        <v>0.50020733701136366</v>
      </c>
    </row>
    <row r="223" spans="1:17" ht="24">
      <c r="A223" s="12">
        <v>222</v>
      </c>
      <c r="C223" s="2" t="s">
        <v>471</v>
      </c>
      <c r="D223" s="1" t="s">
        <v>81</v>
      </c>
      <c r="E223" s="13" t="s">
        <v>827</v>
      </c>
      <c r="F223" s="2" t="s">
        <v>82</v>
      </c>
      <c r="G223" s="12" t="s">
        <v>824</v>
      </c>
      <c r="H223" s="14" t="s">
        <v>823</v>
      </c>
      <c r="I223" s="3" t="s">
        <v>458</v>
      </c>
      <c r="J223" s="16">
        <f>JG</f>
        <v>9.0686272390037068</v>
      </c>
      <c r="K223" s="13">
        <v>2</v>
      </c>
      <c r="L223" s="16">
        <f t="shared" si="29"/>
        <v>18.137254478007414</v>
      </c>
      <c r="M223" s="16">
        <v>56.2</v>
      </c>
      <c r="N223" s="18">
        <f t="shared" si="30"/>
        <v>1.0193137016640166</v>
      </c>
      <c r="O223" s="16">
        <v>1.17</v>
      </c>
      <c r="P223" s="18">
        <f t="shared" si="31"/>
        <v>21.220587739268673</v>
      </c>
      <c r="Q223" s="13" t="s">
        <v>85</v>
      </c>
    </row>
    <row r="224" spans="1:17" ht="24">
      <c r="A224" s="12">
        <v>223</v>
      </c>
      <c r="C224" s="2" t="s">
        <v>471</v>
      </c>
      <c r="D224" s="1" t="s">
        <v>473</v>
      </c>
      <c r="E224" s="13" t="s">
        <v>838</v>
      </c>
      <c r="F224" s="2" t="s">
        <v>475</v>
      </c>
      <c r="G224" s="12" t="s">
        <v>824</v>
      </c>
      <c r="H224" s="14" t="s">
        <v>823</v>
      </c>
      <c r="I224" s="3" t="s">
        <v>477</v>
      </c>
      <c r="J224" s="16">
        <f>JG</f>
        <v>1.9798989873223329</v>
      </c>
      <c r="K224" s="13">
        <v>2</v>
      </c>
      <c r="L224" s="16">
        <f t="shared" si="29"/>
        <v>3.9597979746446659</v>
      </c>
      <c r="M224" s="16">
        <v>7.47</v>
      </c>
      <c r="N224" s="18">
        <f t="shared" si="30"/>
        <v>2.9579690870595653E-2</v>
      </c>
      <c r="O224" s="16">
        <v>0.247</v>
      </c>
      <c r="P224" s="18">
        <f t="shared" si="31"/>
        <v>0.97807009973723247</v>
      </c>
    </row>
    <row r="225" spans="1:17">
      <c r="A225" s="12">
        <v>224</v>
      </c>
      <c r="C225" s="2" t="s">
        <v>478</v>
      </c>
      <c r="D225" s="1" t="s">
        <v>428</v>
      </c>
      <c r="E225" s="13" t="s">
        <v>827</v>
      </c>
      <c r="F225" s="2" t="s">
        <v>429</v>
      </c>
      <c r="G225" s="12" t="s">
        <v>824</v>
      </c>
      <c r="H225" s="14" t="s">
        <v>823</v>
      </c>
      <c r="I225" s="3" t="s">
        <v>450</v>
      </c>
      <c r="J225" s="16">
        <f>JG</f>
        <v>9.0686272390037068</v>
      </c>
      <c r="K225" s="13">
        <v>2</v>
      </c>
      <c r="L225" s="16">
        <f t="shared" si="29"/>
        <v>18.137254478007414</v>
      </c>
      <c r="M225" s="16">
        <v>56.2</v>
      </c>
      <c r="N225" s="18">
        <f t="shared" si="30"/>
        <v>1.0193137016640166</v>
      </c>
      <c r="O225" s="16">
        <v>1.17</v>
      </c>
      <c r="P225" s="18">
        <f t="shared" si="31"/>
        <v>21.220587739268673</v>
      </c>
      <c r="Q225" s="13" t="s">
        <v>434</v>
      </c>
    </row>
    <row r="226" spans="1:17">
      <c r="A226" s="12">
        <v>225</v>
      </c>
      <c r="C226" s="2" t="s">
        <v>478</v>
      </c>
      <c r="D226" s="1" t="s">
        <v>472</v>
      </c>
      <c r="E226" s="13" t="s">
        <v>838</v>
      </c>
      <c r="F226" s="2" t="s">
        <v>474</v>
      </c>
      <c r="G226" s="12" t="s">
        <v>824</v>
      </c>
      <c r="H226" s="14" t="s">
        <v>823</v>
      </c>
      <c r="I226" s="3" t="s">
        <v>476</v>
      </c>
      <c r="J226" s="16">
        <f>JG</f>
        <v>1.9798989873223329</v>
      </c>
      <c r="K226" s="13">
        <v>2</v>
      </c>
      <c r="L226" s="16">
        <f t="shared" si="29"/>
        <v>3.9597979746446659</v>
      </c>
      <c r="M226" s="16">
        <v>7.47</v>
      </c>
      <c r="N226" s="18">
        <f t="shared" si="30"/>
        <v>2.9579690870595653E-2</v>
      </c>
      <c r="O226" s="16">
        <v>0.247</v>
      </c>
      <c r="P226" s="18">
        <f t="shared" si="31"/>
        <v>0.97807009973723247</v>
      </c>
    </row>
    <row r="227" spans="1:17">
      <c r="A227" s="13" t="s">
        <v>585</v>
      </c>
      <c r="N227" s="19">
        <f>SUBTOTAL(109,N2:N226)</f>
        <v>267.96974944997379</v>
      </c>
      <c r="P227" s="19">
        <f>SUBTOTAL(109,P2:P226)</f>
        <v>5762.9798650131925</v>
      </c>
    </row>
  </sheetData>
  <autoFilter ref="A1:Q226">
    <sortState ref="A6:R604">
      <sortCondition ref="A6:A604"/>
    </sortState>
  </autoFilter>
  <sortState ref="A2:Q193">
    <sortCondition ref="A2:A193"/>
  </sortState>
  <phoneticPr fontId="2" type="noConversion"/>
  <conditionalFormatting sqref="A1:Q1048576">
    <cfRule type="expression" dxfId="9" priority="1">
      <formula>($A1="序号")+($A1="汇总")</formula>
    </cfRule>
    <cfRule type="expression" dxfId="8" priority="2">
      <formula>($A1&amp;$B1&amp;$C1&amp;$D1&amp;$E1&amp;$F1&amp;$G1&amp;$H1&amp;$I1&amp;$J1&amp;$K1&amp;$L1&amp;$M1&amp;$N1&amp;$O1&amp;$P1&amp;$Q1&lt;&gt;"")</formula>
    </cfRule>
  </conditionalFormatting>
  <printOptions horizontalCentered="1"/>
  <pageMargins left="0.51181102362204722" right="0.51181102362204722" top="0.59055118110236227" bottom="0.39370078740157483" header="0.31496062992125984" footer="0.31496062992125984"/>
  <pageSetup paperSize="9" scale="83" fitToHeight="0" orientation="landscape" r:id="rId1"/>
  <headerFooter alignWithMargins="0">
    <oddFooter>&amp;C第 &amp;P 页，共 &amp;N 页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Q75"/>
  <sheetViews>
    <sheetView workbookViewId="0">
      <pane ySplit="1" topLeftCell="A53" activePane="bottomLeft" state="frozen"/>
      <selection activeCell="A36" sqref="A36"/>
      <selection pane="bottomLeft" activeCell="P75" sqref="P75"/>
    </sheetView>
  </sheetViews>
  <sheetFormatPr defaultColWidth="9" defaultRowHeight="13.5"/>
  <cols>
    <col min="1" max="1" width="4.375" style="13" customWidth="1"/>
    <col min="2" max="2" width="9" style="2" customWidth="1"/>
    <col min="3" max="3" width="13.625" style="2" customWidth="1"/>
    <col min="4" max="4" width="10.5" style="1" customWidth="1"/>
    <col min="5" max="5" width="12.5" style="13" customWidth="1"/>
    <col min="6" max="6" width="15.625" style="2" customWidth="1"/>
    <col min="7" max="7" width="7.5" style="13" customWidth="1"/>
    <col min="8" max="8" width="6.125" style="13" customWidth="1"/>
    <col min="9" max="9" width="18.5" style="3" customWidth="1"/>
    <col min="10" max="10" width="9.625" style="17" customWidth="1"/>
    <col min="11" max="11" width="7.5" style="13" customWidth="1"/>
    <col min="12" max="12" width="9" style="17"/>
    <col min="13" max="13" width="9.375" style="17" customWidth="1"/>
    <col min="14" max="14" width="8.625" style="19" customWidth="1"/>
    <col min="15" max="15" width="8.625" style="17" customWidth="1"/>
    <col min="16" max="16" width="9.5" style="19" bestFit="1" customWidth="1"/>
    <col min="17" max="17" width="9.125" style="13" customWidth="1"/>
  </cols>
  <sheetData>
    <row r="1" spans="1:17" ht="24">
      <c r="A1" s="4" t="s">
        <v>0</v>
      </c>
      <c r="B1" s="5" t="s">
        <v>1</v>
      </c>
      <c r="C1" s="5" t="s">
        <v>2</v>
      </c>
      <c r="D1" s="4" t="s">
        <v>3</v>
      </c>
      <c r="E1" s="4" t="s">
        <v>4</v>
      </c>
      <c r="F1" s="5" t="s">
        <v>5</v>
      </c>
      <c r="G1" s="4" t="s">
        <v>6</v>
      </c>
      <c r="H1" s="4" t="s">
        <v>7</v>
      </c>
      <c r="I1" s="5" t="s">
        <v>8</v>
      </c>
      <c r="J1" s="9" t="s">
        <v>9</v>
      </c>
      <c r="K1" s="4" t="s">
        <v>10</v>
      </c>
      <c r="L1" s="9" t="s">
        <v>11</v>
      </c>
      <c r="M1" s="9" t="s">
        <v>12</v>
      </c>
      <c r="N1" s="10" t="s">
        <v>13</v>
      </c>
      <c r="O1" s="9" t="s">
        <v>14</v>
      </c>
      <c r="P1" s="10" t="s">
        <v>15</v>
      </c>
      <c r="Q1" s="4" t="s">
        <v>16</v>
      </c>
    </row>
    <row r="2" spans="1:17">
      <c r="A2" s="12">
        <v>1</v>
      </c>
      <c r="B2" s="2" t="s">
        <v>1080</v>
      </c>
      <c r="C2" s="2" t="s">
        <v>584</v>
      </c>
      <c r="D2" s="1" t="s">
        <v>480</v>
      </c>
      <c r="E2" s="13" t="s">
        <v>839</v>
      </c>
      <c r="F2" s="2" t="s">
        <v>189</v>
      </c>
      <c r="G2" s="13" t="s">
        <v>824</v>
      </c>
      <c r="H2" s="13" t="s">
        <v>823</v>
      </c>
      <c r="I2" s="3" t="s">
        <v>1033</v>
      </c>
      <c r="J2" s="17">
        <f>JG</f>
        <v>3.5250000000000004</v>
      </c>
      <c r="K2" s="13">
        <v>12</v>
      </c>
      <c r="L2" s="17">
        <f t="shared" ref="L2:L44" si="0">J2*K2</f>
        <v>42.300000000000004</v>
      </c>
      <c r="M2" s="17">
        <v>31.1</v>
      </c>
      <c r="N2" s="19">
        <f t="shared" ref="N2:N44" si="1">L2*M2*0.001</f>
        <v>1.3155300000000003</v>
      </c>
      <c r="O2" s="17">
        <v>0.872</v>
      </c>
      <c r="P2" s="19">
        <f t="shared" ref="P2:P44" si="2">O2*L2</f>
        <v>36.885600000000004</v>
      </c>
    </row>
    <row r="3" spans="1:17">
      <c r="A3" s="12">
        <v>2</v>
      </c>
      <c r="B3" s="2" t="s">
        <v>1081</v>
      </c>
      <c r="C3" s="2" t="s">
        <v>584</v>
      </c>
      <c r="D3" s="1" t="s">
        <v>589</v>
      </c>
      <c r="E3" s="13" t="s">
        <v>828</v>
      </c>
      <c r="F3" s="2" t="s">
        <v>1084</v>
      </c>
      <c r="G3" s="13" t="s">
        <v>822</v>
      </c>
      <c r="H3" s="13" t="s">
        <v>823</v>
      </c>
      <c r="I3" s="3">
        <v>1</v>
      </c>
      <c r="J3" s="17">
        <f>JG</f>
        <v>1</v>
      </c>
      <c r="K3" s="13">
        <v>12</v>
      </c>
      <c r="L3" s="17">
        <f t="shared" ref="L3:L5" si="3">J3*K3</f>
        <v>12</v>
      </c>
      <c r="M3" s="17">
        <f>0.38*0.32*0.025</f>
        <v>3.0400000000000002E-3</v>
      </c>
      <c r="N3" s="19">
        <f t="shared" si="1"/>
        <v>3.6479999999999996E-5</v>
      </c>
      <c r="O3" s="17">
        <f>0.38*0.32</f>
        <v>0.1216</v>
      </c>
      <c r="P3" s="19">
        <f t="shared" si="2"/>
        <v>1.4592000000000001</v>
      </c>
    </row>
    <row r="4" spans="1:17">
      <c r="A4" s="12">
        <v>3</v>
      </c>
      <c r="B4" s="2" t="s">
        <v>1081</v>
      </c>
      <c r="C4" s="2" t="s">
        <v>584</v>
      </c>
      <c r="D4" s="1" t="s">
        <v>589</v>
      </c>
      <c r="E4" s="13" t="s">
        <v>828</v>
      </c>
      <c r="F4" s="2" t="s">
        <v>479</v>
      </c>
      <c r="G4" s="13" t="s">
        <v>822</v>
      </c>
      <c r="H4" s="13" t="s">
        <v>823</v>
      </c>
      <c r="I4" s="3">
        <v>4</v>
      </c>
      <c r="J4" s="17">
        <f>JG</f>
        <v>4</v>
      </c>
      <c r="K4" s="13">
        <v>12</v>
      </c>
      <c r="L4" s="17">
        <f t="shared" si="3"/>
        <v>48</v>
      </c>
      <c r="N4" s="19">
        <f t="shared" si="1"/>
        <v>0</v>
      </c>
      <c r="P4" s="19">
        <f t="shared" si="2"/>
        <v>0</v>
      </c>
    </row>
    <row r="5" spans="1:17">
      <c r="A5" s="12">
        <v>4</v>
      </c>
      <c r="B5" s="2" t="s">
        <v>1081</v>
      </c>
      <c r="C5" s="2" t="s">
        <v>584</v>
      </c>
      <c r="D5" s="1" t="s">
        <v>589</v>
      </c>
      <c r="E5" s="13" t="s">
        <v>828</v>
      </c>
      <c r="F5" s="2" t="s">
        <v>1085</v>
      </c>
      <c r="G5" s="13" t="s">
        <v>822</v>
      </c>
      <c r="H5" s="13" t="s">
        <v>823</v>
      </c>
      <c r="I5" s="3">
        <v>6</v>
      </c>
      <c r="J5" s="17">
        <f>JG</f>
        <v>6</v>
      </c>
      <c r="K5" s="13">
        <v>12</v>
      </c>
      <c r="L5" s="17">
        <f t="shared" si="3"/>
        <v>72</v>
      </c>
      <c r="N5" s="19">
        <f t="shared" si="1"/>
        <v>0</v>
      </c>
      <c r="P5" s="19">
        <f t="shared" si="2"/>
        <v>0</v>
      </c>
    </row>
    <row r="6" spans="1:17" ht="24">
      <c r="A6" s="12">
        <v>5</v>
      </c>
      <c r="B6" s="2" t="s">
        <v>1081</v>
      </c>
      <c r="C6" s="2" t="s">
        <v>584</v>
      </c>
      <c r="D6" s="1" t="s">
        <v>481</v>
      </c>
      <c r="E6" s="13" t="s">
        <v>839</v>
      </c>
      <c r="F6" s="2" t="s">
        <v>482</v>
      </c>
      <c r="G6" s="13" t="s">
        <v>824</v>
      </c>
      <c r="H6" s="13" t="s">
        <v>823</v>
      </c>
      <c r="I6" s="3" t="s">
        <v>1034</v>
      </c>
      <c r="J6" s="17">
        <f>JG</f>
        <v>2.7749999999999972</v>
      </c>
      <c r="K6" s="13">
        <v>8</v>
      </c>
      <c r="L6" s="17">
        <f t="shared" si="0"/>
        <v>22.199999999999978</v>
      </c>
      <c r="M6" s="17">
        <v>40.4</v>
      </c>
      <c r="N6" s="19">
        <f t="shared" si="1"/>
        <v>0.89687999999999912</v>
      </c>
      <c r="O6" s="17">
        <v>1.01</v>
      </c>
      <c r="P6" s="19">
        <f t="shared" si="2"/>
        <v>22.421999999999979</v>
      </c>
    </row>
    <row r="7" spans="1:17">
      <c r="A7" s="12">
        <v>6</v>
      </c>
      <c r="B7" s="2" t="s">
        <v>1081</v>
      </c>
      <c r="C7" s="2" t="s">
        <v>584</v>
      </c>
      <c r="D7" s="1" t="s">
        <v>589</v>
      </c>
      <c r="E7" s="13" t="s">
        <v>828</v>
      </c>
      <c r="F7" s="2" t="s">
        <v>1087</v>
      </c>
      <c r="G7" s="13" t="s">
        <v>822</v>
      </c>
      <c r="H7" s="13" t="s">
        <v>823</v>
      </c>
      <c r="I7" s="3">
        <v>1</v>
      </c>
      <c r="J7" s="17">
        <f>JG</f>
        <v>1</v>
      </c>
      <c r="K7" s="13">
        <v>8</v>
      </c>
      <c r="L7" s="17">
        <f t="shared" ref="L7:L9" si="4">J7*K7</f>
        <v>8</v>
      </c>
      <c r="M7" s="17">
        <f>0.42*0.34*0.025*7850</f>
        <v>28.024500000000003</v>
      </c>
      <c r="N7" s="19">
        <f t="shared" si="1"/>
        <v>0.22419600000000003</v>
      </c>
      <c r="O7" s="17">
        <f>0.42*0.34</f>
        <v>0.14280000000000001</v>
      </c>
      <c r="P7" s="19">
        <f t="shared" si="2"/>
        <v>1.1424000000000001</v>
      </c>
    </row>
    <row r="8" spans="1:17">
      <c r="A8" s="12">
        <v>7</v>
      </c>
      <c r="B8" s="2" t="s">
        <v>1081</v>
      </c>
      <c r="C8" s="2" t="s">
        <v>584</v>
      </c>
      <c r="D8" s="1" t="s">
        <v>589</v>
      </c>
      <c r="E8" s="13" t="s">
        <v>828</v>
      </c>
      <c r="F8" s="2" t="s">
        <v>1085</v>
      </c>
      <c r="G8" s="13" t="s">
        <v>822</v>
      </c>
      <c r="H8" s="13" t="s">
        <v>823</v>
      </c>
      <c r="I8" s="3">
        <v>4</v>
      </c>
      <c r="J8" s="17">
        <f>JG</f>
        <v>4</v>
      </c>
      <c r="K8" s="13">
        <v>8</v>
      </c>
      <c r="L8" s="17">
        <f t="shared" si="4"/>
        <v>32</v>
      </c>
      <c r="N8" s="19">
        <f t="shared" si="1"/>
        <v>0</v>
      </c>
      <c r="P8" s="19">
        <f t="shared" si="2"/>
        <v>0</v>
      </c>
    </row>
    <row r="9" spans="1:17">
      <c r="A9" s="12">
        <v>8</v>
      </c>
      <c r="B9" s="2" t="s">
        <v>1081</v>
      </c>
      <c r="C9" s="2" t="s">
        <v>584</v>
      </c>
      <c r="D9" s="1" t="s">
        <v>589</v>
      </c>
      <c r="E9" s="13" t="s">
        <v>828</v>
      </c>
      <c r="F9" s="2" t="s">
        <v>1085</v>
      </c>
      <c r="G9" s="13" t="s">
        <v>822</v>
      </c>
      <c r="H9" s="13" t="s">
        <v>823</v>
      </c>
      <c r="I9" s="3">
        <v>6</v>
      </c>
      <c r="J9" s="17">
        <f>JG</f>
        <v>6</v>
      </c>
      <c r="K9" s="13">
        <v>8</v>
      </c>
      <c r="L9" s="17">
        <f t="shared" si="4"/>
        <v>48</v>
      </c>
      <c r="N9" s="19">
        <f t="shared" si="1"/>
        <v>0</v>
      </c>
      <c r="P9" s="19">
        <f t="shared" si="2"/>
        <v>0</v>
      </c>
    </row>
    <row r="10" spans="1:17" ht="36">
      <c r="A10" s="12">
        <v>9</v>
      </c>
      <c r="B10" s="2" t="s">
        <v>1082</v>
      </c>
      <c r="C10" s="2" t="s">
        <v>584</v>
      </c>
      <c r="D10" s="1" t="s">
        <v>483</v>
      </c>
      <c r="E10" s="13" t="s">
        <v>839</v>
      </c>
      <c r="F10" s="2" t="s">
        <v>484</v>
      </c>
      <c r="G10" s="13" t="s">
        <v>824</v>
      </c>
      <c r="H10" s="13" t="s">
        <v>823</v>
      </c>
      <c r="I10" s="3" t="s">
        <v>1035</v>
      </c>
      <c r="J10" s="17">
        <f>JG</f>
        <v>61.319999999999979</v>
      </c>
      <c r="K10" s="13">
        <v>1</v>
      </c>
      <c r="L10" s="17">
        <f t="shared" si="0"/>
        <v>61.319999999999979</v>
      </c>
      <c r="M10" s="17">
        <v>49.9</v>
      </c>
      <c r="N10" s="19">
        <f t="shared" si="1"/>
        <v>3.0598679999999989</v>
      </c>
      <c r="O10" s="17">
        <v>1.1599999999999999</v>
      </c>
      <c r="P10" s="19">
        <f t="shared" si="2"/>
        <v>71.131199999999964</v>
      </c>
      <c r="Q10" s="13" t="s">
        <v>574</v>
      </c>
    </row>
    <row r="11" spans="1:17">
      <c r="A11" s="12">
        <v>10</v>
      </c>
      <c r="B11" s="2" t="s">
        <v>1082</v>
      </c>
      <c r="C11" s="2" t="s">
        <v>584</v>
      </c>
      <c r="D11" s="1" t="s">
        <v>589</v>
      </c>
      <c r="E11" s="13" t="s">
        <v>828</v>
      </c>
      <c r="F11" s="2" t="s">
        <v>1078</v>
      </c>
      <c r="G11" s="13" t="s">
        <v>822</v>
      </c>
      <c r="H11" s="13" t="s">
        <v>823</v>
      </c>
      <c r="I11" s="3">
        <v>1</v>
      </c>
      <c r="J11" s="17">
        <f>JG</f>
        <v>1</v>
      </c>
      <c r="K11" s="13">
        <v>1</v>
      </c>
      <c r="L11" s="17">
        <f t="shared" ref="L11:L13" si="5">J11*K11</f>
        <v>1</v>
      </c>
      <c r="M11" s="17">
        <f>0.48*0.4*0.03*7850</f>
        <v>45.215999999999994</v>
      </c>
      <c r="N11" s="19">
        <f t="shared" si="1"/>
        <v>4.5215999999999992E-2</v>
      </c>
      <c r="O11" s="17">
        <f>0.48*0.4</f>
        <v>0.192</v>
      </c>
      <c r="P11" s="19">
        <f t="shared" si="2"/>
        <v>0.192</v>
      </c>
    </row>
    <row r="12" spans="1:17">
      <c r="A12" s="12">
        <v>11</v>
      </c>
      <c r="B12" s="2" t="s">
        <v>1082</v>
      </c>
      <c r="C12" s="2" t="s">
        <v>584</v>
      </c>
      <c r="D12" s="1" t="s">
        <v>589</v>
      </c>
      <c r="E12" s="13" t="s">
        <v>828</v>
      </c>
      <c r="F12" s="2" t="s">
        <v>1085</v>
      </c>
      <c r="G12" s="13" t="s">
        <v>822</v>
      </c>
      <c r="H12" s="13" t="s">
        <v>823</v>
      </c>
      <c r="I12" s="3">
        <v>4</v>
      </c>
      <c r="J12" s="17">
        <f>JG</f>
        <v>4</v>
      </c>
      <c r="K12" s="13">
        <v>1</v>
      </c>
      <c r="L12" s="17">
        <f t="shared" si="5"/>
        <v>4</v>
      </c>
      <c r="N12" s="19">
        <f t="shared" si="1"/>
        <v>0</v>
      </c>
      <c r="P12" s="19">
        <f t="shared" si="2"/>
        <v>0</v>
      </c>
    </row>
    <row r="13" spans="1:17">
      <c r="A13" s="12">
        <v>12</v>
      </c>
      <c r="B13" s="2" t="s">
        <v>1082</v>
      </c>
      <c r="C13" s="2" t="s">
        <v>584</v>
      </c>
      <c r="D13" s="1" t="s">
        <v>589</v>
      </c>
      <c r="E13" s="13" t="s">
        <v>828</v>
      </c>
      <c r="F13" s="2" t="s">
        <v>1085</v>
      </c>
      <c r="G13" s="13" t="s">
        <v>822</v>
      </c>
      <c r="H13" s="13" t="s">
        <v>823</v>
      </c>
      <c r="I13" s="3">
        <v>6</v>
      </c>
      <c r="J13" s="17">
        <f>JG</f>
        <v>6</v>
      </c>
      <c r="K13" s="13">
        <v>1</v>
      </c>
      <c r="L13" s="17">
        <f t="shared" si="5"/>
        <v>6</v>
      </c>
      <c r="N13" s="19">
        <f t="shared" si="1"/>
        <v>0</v>
      </c>
      <c r="P13" s="19">
        <f t="shared" si="2"/>
        <v>0</v>
      </c>
    </row>
    <row r="14" spans="1:17">
      <c r="A14" s="12">
        <v>13</v>
      </c>
      <c r="B14" s="2" t="s">
        <v>1083</v>
      </c>
      <c r="C14" s="2" t="s">
        <v>584</v>
      </c>
      <c r="D14" s="1" t="s">
        <v>485</v>
      </c>
      <c r="E14" s="13" t="s">
        <v>839</v>
      </c>
      <c r="F14" s="2" t="s">
        <v>449</v>
      </c>
      <c r="G14" s="13" t="s">
        <v>824</v>
      </c>
      <c r="H14" s="13" t="s">
        <v>823</v>
      </c>
      <c r="I14" s="3" t="s">
        <v>1036</v>
      </c>
      <c r="J14" s="17">
        <f>JG</f>
        <v>4.47</v>
      </c>
      <c r="K14" s="13">
        <v>4</v>
      </c>
      <c r="L14" s="17">
        <f t="shared" si="0"/>
        <v>17.88</v>
      </c>
      <c r="M14" s="17">
        <v>71.8</v>
      </c>
      <c r="N14" s="19">
        <f t="shared" si="1"/>
        <v>1.2837839999999998</v>
      </c>
      <c r="O14" s="17">
        <v>1.46</v>
      </c>
      <c r="P14" s="19">
        <f t="shared" si="2"/>
        <v>26.104799999999997</v>
      </c>
      <c r="Q14" s="13" t="s">
        <v>574</v>
      </c>
    </row>
    <row r="15" spans="1:17">
      <c r="A15" s="12">
        <v>14</v>
      </c>
      <c r="B15" s="2" t="s">
        <v>1083</v>
      </c>
      <c r="C15" s="2" t="s">
        <v>584</v>
      </c>
      <c r="D15" s="1" t="s">
        <v>909</v>
      </c>
      <c r="E15" s="13" t="s">
        <v>974</v>
      </c>
      <c r="F15" s="2" t="s">
        <v>1048</v>
      </c>
      <c r="G15" s="13" t="s">
        <v>969</v>
      </c>
      <c r="H15" s="13" t="s">
        <v>970</v>
      </c>
      <c r="I15" s="3">
        <v>1</v>
      </c>
      <c r="J15" s="17">
        <f>JG</f>
        <v>1</v>
      </c>
      <c r="K15" s="13">
        <v>4</v>
      </c>
      <c r="L15" s="17">
        <f t="shared" si="0"/>
        <v>4</v>
      </c>
      <c r="M15" s="17">
        <f>0.53*0.57*0.03*7850</f>
        <v>71.144549999999995</v>
      </c>
      <c r="N15" s="19">
        <f t="shared" si="1"/>
        <v>0.2845782</v>
      </c>
      <c r="O15" s="17">
        <f>0.53*0.57</f>
        <v>0.30209999999999998</v>
      </c>
      <c r="P15" s="19">
        <f t="shared" si="2"/>
        <v>1.2083999999999999</v>
      </c>
    </row>
    <row r="16" spans="1:17">
      <c r="A16" s="12">
        <v>15</v>
      </c>
      <c r="B16" s="2" t="s">
        <v>1083</v>
      </c>
      <c r="C16" s="2" t="s">
        <v>584</v>
      </c>
      <c r="D16" s="1" t="s">
        <v>909</v>
      </c>
      <c r="E16" s="13" t="s">
        <v>974</v>
      </c>
      <c r="F16" s="2" t="s">
        <v>712</v>
      </c>
      <c r="G16" s="13" t="s">
        <v>969</v>
      </c>
      <c r="H16" s="13" t="s">
        <v>970</v>
      </c>
      <c r="I16" s="3">
        <v>2</v>
      </c>
      <c r="J16" s="17">
        <f>JG</f>
        <v>2</v>
      </c>
      <c r="K16" s="13">
        <v>4</v>
      </c>
      <c r="L16" s="17">
        <f t="shared" si="0"/>
        <v>8</v>
      </c>
      <c r="N16" s="19">
        <f t="shared" si="1"/>
        <v>0</v>
      </c>
      <c r="P16" s="19">
        <f t="shared" si="2"/>
        <v>0</v>
      </c>
    </row>
    <row r="17" spans="1:17">
      <c r="A17" s="12">
        <v>16</v>
      </c>
      <c r="B17" s="2" t="s">
        <v>1083</v>
      </c>
      <c r="C17" s="2" t="s">
        <v>584</v>
      </c>
      <c r="D17" s="1" t="s">
        <v>909</v>
      </c>
      <c r="E17" s="13" t="s">
        <v>974</v>
      </c>
      <c r="F17" s="2" t="s">
        <v>712</v>
      </c>
      <c r="G17" s="13" t="s">
        <v>969</v>
      </c>
      <c r="H17" s="13" t="s">
        <v>970</v>
      </c>
      <c r="I17" s="3">
        <v>4</v>
      </c>
      <c r="J17" s="17">
        <f>JG</f>
        <v>4</v>
      </c>
      <c r="K17" s="13">
        <v>4</v>
      </c>
      <c r="L17" s="17">
        <f t="shared" si="0"/>
        <v>16</v>
      </c>
      <c r="N17" s="19">
        <f t="shared" si="1"/>
        <v>0</v>
      </c>
      <c r="P17" s="19">
        <f t="shared" si="2"/>
        <v>0</v>
      </c>
    </row>
    <row r="18" spans="1:17">
      <c r="A18" s="12">
        <v>17</v>
      </c>
      <c r="B18" s="2" t="s">
        <v>1083</v>
      </c>
      <c r="C18" s="2" t="s">
        <v>584</v>
      </c>
      <c r="D18" s="1" t="s">
        <v>909</v>
      </c>
      <c r="E18" s="13" t="s">
        <v>974</v>
      </c>
      <c r="F18" s="2" t="s">
        <v>712</v>
      </c>
      <c r="G18" s="13" t="s">
        <v>969</v>
      </c>
      <c r="H18" s="13" t="s">
        <v>970</v>
      </c>
      <c r="I18" s="3">
        <v>8</v>
      </c>
      <c r="J18" s="17">
        <f>JG</f>
        <v>8</v>
      </c>
      <c r="K18" s="13">
        <v>4</v>
      </c>
      <c r="L18" s="17">
        <f t="shared" si="0"/>
        <v>32</v>
      </c>
      <c r="N18" s="19">
        <f t="shared" si="1"/>
        <v>0</v>
      </c>
      <c r="P18" s="19">
        <f t="shared" si="2"/>
        <v>0</v>
      </c>
    </row>
    <row r="19" spans="1:17" ht="24">
      <c r="A19" s="12">
        <v>18</v>
      </c>
      <c r="B19" s="2" t="s">
        <v>499</v>
      </c>
      <c r="C19" s="2" t="s">
        <v>486</v>
      </c>
      <c r="D19" s="1" t="s">
        <v>487</v>
      </c>
      <c r="E19" s="13" t="s">
        <v>839</v>
      </c>
      <c r="F19" s="2" t="s">
        <v>488</v>
      </c>
      <c r="G19" s="13" t="s">
        <v>824</v>
      </c>
      <c r="H19" s="13" t="s">
        <v>823</v>
      </c>
      <c r="I19" s="3" t="s">
        <v>489</v>
      </c>
      <c r="J19" s="17">
        <f>JG</f>
        <v>0.38749999999999996</v>
      </c>
      <c r="K19" s="13">
        <v>2</v>
      </c>
      <c r="L19" s="17">
        <f t="shared" si="0"/>
        <v>0.77499999999999991</v>
      </c>
      <c r="M19" s="17">
        <v>23.6</v>
      </c>
      <c r="N19" s="19">
        <f t="shared" si="1"/>
        <v>1.8290000000000001E-2</v>
      </c>
      <c r="O19" s="17">
        <v>0.72299999999999998</v>
      </c>
      <c r="P19" s="19">
        <f t="shared" si="2"/>
        <v>0.56032499999999996</v>
      </c>
      <c r="Q19" s="13" t="s">
        <v>490</v>
      </c>
    </row>
    <row r="20" spans="1:17" ht="24">
      <c r="A20" s="12">
        <v>19</v>
      </c>
      <c r="B20" s="2" t="s">
        <v>500</v>
      </c>
      <c r="C20" s="2" t="s">
        <v>486</v>
      </c>
      <c r="D20" s="1" t="s">
        <v>324</v>
      </c>
      <c r="E20" s="13" t="s">
        <v>837</v>
      </c>
      <c r="F20" s="2" t="s">
        <v>325</v>
      </c>
      <c r="G20" s="13" t="s">
        <v>824</v>
      </c>
      <c r="H20" s="13" t="s">
        <v>823</v>
      </c>
      <c r="I20" s="3">
        <v>1</v>
      </c>
      <c r="J20" s="17">
        <f>JG</f>
        <v>1</v>
      </c>
      <c r="K20" s="13">
        <v>1</v>
      </c>
      <c r="L20" s="17">
        <f t="shared" si="0"/>
        <v>1</v>
      </c>
      <c r="M20" s="17">
        <v>10</v>
      </c>
      <c r="N20" s="19">
        <f t="shared" si="1"/>
        <v>0.01</v>
      </c>
      <c r="O20" s="17">
        <v>0.36499999999999999</v>
      </c>
      <c r="P20" s="19">
        <f t="shared" si="2"/>
        <v>0.36499999999999999</v>
      </c>
    </row>
    <row r="21" spans="1:17" ht="24">
      <c r="A21" s="12">
        <v>20</v>
      </c>
      <c r="B21" s="2" t="s">
        <v>501</v>
      </c>
      <c r="C21" s="2" t="s">
        <v>486</v>
      </c>
      <c r="D21" s="1" t="s">
        <v>487</v>
      </c>
      <c r="E21" s="13" t="s">
        <v>839</v>
      </c>
      <c r="F21" s="2" t="s">
        <v>488</v>
      </c>
      <c r="G21" s="13" t="s">
        <v>824</v>
      </c>
      <c r="H21" s="13" t="s">
        <v>823</v>
      </c>
      <c r="I21" s="3" t="s">
        <v>489</v>
      </c>
      <c r="J21" s="17">
        <f>JG</f>
        <v>0.38749999999999996</v>
      </c>
      <c r="K21" s="13">
        <v>2</v>
      </c>
      <c r="L21" s="17">
        <f t="shared" si="0"/>
        <v>0.77499999999999991</v>
      </c>
      <c r="M21" s="17">
        <v>23.6</v>
      </c>
      <c r="N21" s="19">
        <f t="shared" si="1"/>
        <v>1.8290000000000001E-2</v>
      </c>
      <c r="O21" s="17">
        <v>0.72299999999999998</v>
      </c>
      <c r="P21" s="19">
        <f t="shared" si="2"/>
        <v>0.56032499999999996</v>
      </c>
      <c r="Q21" s="13" t="s">
        <v>490</v>
      </c>
    </row>
    <row r="22" spans="1:17" ht="24">
      <c r="A22" s="12">
        <v>21</v>
      </c>
      <c r="B22" s="2" t="s">
        <v>501</v>
      </c>
      <c r="C22" s="2" t="s">
        <v>486</v>
      </c>
      <c r="D22" s="1" t="s">
        <v>324</v>
      </c>
      <c r="E22" s="13" t="s">
        <v>837</v>
      </c>
      <c r="F22" s="2" t="s">
        <v>325</v>
      </c>
      <c r="G22" s="13" t="s">
        <v>824</v>
      </c>
      <c r="H22" s="13" t="s">
        <v>823</v>
      </c>
      <c r="I22" s="3">
        <v>1</v>
      </c>
      <c r="J22" s="17">
        <f>JG</f>
        <v>1</v>
      </c>
      <c r="K22" s="13">
        <v>1</v>
      </c>
      <c r="L22" s="17">
        <f t="shared" si="0"/>
        <v>1</v>
      </c>
      <c r="M22" s="17">
        <v>10</v>
      </c>
      <c r="N22" s="19">
        <f t="shared" si="1"/>
        <v>0.01</v>
      </c>
      <c r="O22" s="17">
        <v>0.36499999999999999</v>
      </c>
      <c r="P22" s="19">
        <f t="shared" si="2"/>
        <v>0.36499999999999999</v>
      </c>
    </row>
    <row r="23" spans="1:17" ht="24">
      <c r="A23" s="12">
        <v>22</v>
      </c>
      <c r="C23" s="2" t="s">
        <v>486</v>
      </c>
      <c r="D23" s="1" t="s">
        <v>491</v>
      </c>
      <c r="E23" s="13" t="s">
        <v>839</v>
      </c>
      <c r="F23" s="2" t="s">
        <v>492</v>
      </c>
      <c r="G23" s="13" t="s">
        <v>824</v>
      </c>
      <c r="H23" s="13" t="s">
        <v>823</v>
      </c>
      <c r="I23" s="3" t="s">
        <v>493</v>
      </c>
      <c r="J23" s="17">
        <f>JG</f>
        <v>1.9950000000000001</v>
      </c>
      <c r="K23" s="13">
        <v>2</v>
      </c>
      <c r="L23" s="17">
        <f t="shared" si="0"/>
        <v>3.99</v>
      </c>
      <c r="M23" s="17">
        <v>23.6</v>
      </c>
      <c r="N23" s="19">
        <f t="shared" si="1"/>
        <v>9.4164000000000012E-2</v>
      </c>
      <c r="O23" s="17">
        <v>0.72299999999999998</v>
      </c>
      <c r="P23" s="19">
        <f t="shared" si="2"/>
        <v>2.8847700000000001</v>
      </c>
    </row>
    <row r="24" spans="1:17" ht="24">
      <c r="A24" s="12">
        <v>23</v>
      </c>
      <c r="C24" s="2" t="s">
        <v>486</v>
      </c>
      <c r="D24" s="1" t="s">
        <v>494</v>
      </c>
      <c r="E24" s="13" t="s">
        <v>828</v>
      </c>
      <c r="F24" s="2" t="s">
        <v>495</v>
      </c>
      <c r="G24" s="13" t="s">
        <v>824</v>
      </c>
      <c r="H24" s="13" t="s">
        <v>823</v>
      </c>
      <c r="I24" s="3" t="s">
        <v>344</v>
      </c>
      <c r="J24" s="17">
        <f>JG</f>
        <v>16</v>
      </c>
      <c r="K24" s="13">
        <v>1</v>
      </c>
      <c r="L24" s="17">
        <f t="shared" si="0"/>
        <v>16</v>
      </c>
      <c r="M24" s="17">
        <f>0.059*0.107*0.0065*7850</f>
        <v>0.32212082499999994</v>
      </c>
      <c r="N24" s="19">
        <f t="shared" si="1"/>
        <v>5.1539331999999995E-3</v>
      </c>
      <c r="O24" s="17">
        <f>0.059*2*0.107</f>
        <v>1.2625999999999998E-2</v>
      </c>
      <c r="P24" s="19">
        <f t="shared" si="2"/>
        <v>0.20201599999999997</v>
      </c>
      <c r="Q24" s="13" t="s">
        <v>496</v>
      </c>
    </row>
    <row r="25" spans="1:17" ht="24">
      <c r="A25" s="12">
        <v>24</v>
      </c>
      <c r="B25" s="2" t="s">
        <v>498</v>
      </c>
      <c r="C25" s="2" t="s">
        <v>486</v>
      </c>
      <c r="D25" s="1" t="s">
        <v>497</v>
      </c>
      <c r="E25" s="13" t="s">
        <v>839</v>
      </c>
      <c r="F25" s="2" t="s">
        <v>503</v>
      </c>
      <c r="G25" s="13" t="s">
        <v>824</v>
      </c>
      <c r="H25" s="13" t="s">
        <v>823</v>
      </c>
      <c r="I25" s="3" t="s">
        <v>504</v>
      </c>
      <c r="J25" s="17">
        <f>JG</f>
        <v>0.85</v>
      </c>
      <c r="K25" s="13">
        <v>6</v>
      </c>
      <c r="L25" s="17">
        <f t="shared" si="0"/>
        <v>5.0999999999999996</v>
      </c>
      <c r="M25" s="17">
        <v>9.3000000000000007</v>
      </c>
      <c r="N25" s="19">
        <f t="shared" si="1"/>
        <v>4.743E-2</v>
      </c>
      <c r="O25" s="17">
        <v>0.376</v>
      </c>
      <c r="P25" s="19">
        <f t="shared" si="2"/>
        <v>1.9176</v>
      </c>
    </row>
    <row r="26" spans="1:17" ht="24">
      <c r="A26" s="12">
        <v>25</v>
      </c>
      <c r="B26" s="2" t="s">
        <v>505</v>
      </c>
      <c r="C26" s="2" t="s">
        <v>486</v>
      </c>
      <c r="D26" s="1" t="s">
        <v>497</v>
      </c>
      <c r="E26" s="13" t="s">
        <v>839</v>
      </c>
      <c r="F26" s="2" t="s">
        <v>503</v>
      </c>
      <c r="G26" s="13" t="s">
        <v>824</v>
      </c>
      <c r="H26" s="13" t="s">
        <v>823</v>
      </c>
      <c r="I26" s="3" t="s">
        <v>504</v>
      </c>
      <c r="J26" s="17">
        <f>JG</f>
        <v>0.85</v>
      </c>
      <c r="K26" s="13">
        <v>6</v>
      </c>
      <c r="L26" s="17">
        <f t="shared" si="0"/>
        <v>5.0999999999999996</v>
      </c>
      <c r="M26" s="17">
        <v>9.3000000000000007</v>
      </c>
      <c r="N26" s="19">
        <f t="shared" si="1"/>
        <v>4.743E-2</v>
      </c>
      <c r="O26" s="17">
        <v>0.376</v>
      </c>
      <c r="P26" s="19">
        <f t="shared" si="2"/>
        <v>1.9176</v>
      </c>
    </row>
    <row r="27" spans="1:17" ht="24">
      <c r="A27" s="12">
        <v>26</v>
      </c>
      <c r="B27" s="2" t="s">
        <v>506</v>
      </c>
      <c r="C27" s="2" t="s">
        <v>486</v>
      </c>
      <c r="D27" s="1" t="s">
        <v>497</v>
      </c>
      <c r="E27" s="13" t="s">
        <v>839</v>
      </c>
      <c r="F27" s="2" t="s">
        <v>503</v>
      </c>
      <c r="G27" s="13" t="s">
        <v>824</v>
      </c>
      <c r="H27" s="13" t="s">
        <v>823</v>
      </c>
      <c r="I27" s="3" t="s">
        <v>504</v>
      </c>
      <c r="J27" s="17">
        <f>JG</f>
        <v>0.85</v>
      </c>
      <c r="K27" s="13">
        <v>6</v>
      </c>
      <c r="L27" s="17">
        <f t="shared" si="0"/>
        <v>5.0999999999999996</v>
      </c>
      <c r="M27" s="17">
        <v>9.3000000000000007</v>
      </c>
      <c r="N27" s="19">
        <f t="shared" si="1"/>
        <v>4.743E-2</v>
      </c>
      <c r="O27" s="17">
        <v>0.376</v>
      </c>
      <c r="P27" s="19">
        <f t="shared" si="2"/>
        <v>1.9176</v>
      </c>
    </row>
    <row r="28" spans="1:17" ht="24">
      <c r="A28" s="12">
        <v>27</v>
      </c>
      <c r="B28" s="2" t="s">
        <v>507</v>
      </c>
      <c r="C28" s="2" t="s">
        <v>486</v>
      </c>
      <c r="D28" s="1" t="s">
        <v>497</v>
      </c>
      <c r="E28" s="13" t="s">
        <v>839</v>
      </c>
      <c r="F28" s="2" t="s">
        <v>503</v>
      </c>
      <c r="G28" s="13" t="s">
        <v>824</v>
      </c>
      <c r="H28" s="13" t="s">
        <v>823</v>
      </c>
      <c r="I28" s="3" t="s">
        <v>508</v>
      </c>
      <c r="J28" s="17">
        <f>JG</f>
        <v>14.1</v>
      </c>
      <c r="K28" s="13">
        <v>1</v>
      </c>
      <c r="L28" s="17">
        <f t="shared" si="0"/>
        <v>14.1</v>
      </c>
      <c r="M28" s="17">
        <v>9.3000000000000007</v>
      </c>
      <c r="N28" s="19">
        <f t="shared" si="1"/>
        <v>0.13113</v>
      </c>
      <c r="O28" s="17">
        <v>0.376</v>
      </c>
      <c r="P28" s="19">
        <f t="shared" si="2"/>
        <v>5.3015999999999996</v>
      </c>
    </row>
    <row r="29" spans="1:17" ht="24">
      <c r="A29" s="12">
        <v>28</v>
      </c>
      <c r="B29" s="2" t="s">
        <v>510</v>
      </c>
      <c r="C29" s="2" t="s">
        <v>486</v>
      </c>
      <c r="D29" s="1" t="s">
        <v>512</v>
      </c>
      <c r="E29" s="13" t="s">
        <v>839</v>
      </c>
      <c r="F29" s="2" t="s">
        <v>513</v>
      </c>
      <c r="G29" s="13" t="s">
        <v>824</v>
      </c>
      <c r="H29" s="13" t="s">
        <v>823</v>
      </c>
      <c r="I29" s="3" t="s">
        <v>515</v>
      </c>
      <c r="J29" s="17">
        <f>JG</f>
        <v>1.5499999999999998</v>
      </c>
      <c r="K29" s="13">
        <v>3</v>
      </c>
      <c r="L29" s="17">
        <f t="shared" si="0"/>
        <v>4.6499999999999995</v>
      </c>
      <c r="M29" s="17">
        <v>43.6</v>
      </c>
      <c r="N29" s="19">
        <f t="shared" si="1"/>
        <v>0.20273999999999998</v>
      </c>
      <c r="O29" s="17">
        <v>1.1499999999999999</v>
      </c>
      <c r="P29" s="19">
        <f t="shared" si="2"/>
        <v>5.3474999999999993</v>
      </c>
    </row>
    <row r="30" spans="1:17" ht="24">
      <c r="A30" s="12">
        <v>29</v>
      </c>
      <c r="B30" s="2" t="s">
        <v>510</v>
      </c>
      <c r="C30" s="2" t="s">
        <v>486</v>
      </c>
      <c r="D30" s="1" t="s">
        <v>517</v>
      </c>
      <c r="E30" s="13" t="s">
        <v>839</v>
      </c>
      <c r="F30" s="2" t="s">
        <v>518</v>
      </c>
      <c r="G30" s="13" t="s">
        <v>824</v>
      </c>
      <c r="H30" s="13" t="s">
        <v>823</v>
      </c>
      <c r="I30" s="3" t="s">
        <v>520</v>
      </c>
      <c r="J30" s="17">
        <f>JG</f>
        <v>0.45000000000000007</v>
      </c>
      <c r="K30" s="13">
        <v>6</v>
      </c>
      <c r="L30" s="17">
        <f t="shared" si="0"/>
        <v>2.7</v>
      </c>
      <c r="M30" s="17">
        <v>9.3000000000000007</v>
      </c>
      <c r="N30" s="19">
        <f t="shared" si="1"/>
        <v>2.5110000000000004E-2</v>
      </c>
      <c r="O30" s="17">
        <v>0.376</v>
      </c>
      <c r="P30" s="19">
        <f t="shared" si="2"/>
        <v>1.0152000000000001</v>
      </c>
    </row>
    <row r="31" spans="1:17" ht="24">
      <c r="A31" s="12">
        <v>30</v>
      </c>
      <c r="B31" s="2" t="s">
        <v>510</v>
      </c>
      <c r="C31" s="2" t="s">
        <v>486</v>
      </c>
      <c r="D31" s="1" t="s">
        <v>39</v>
      </c>
      <c r="E31" s="13" t="s">
        <v>828</v>
      </c>
      <c r="F31" s="2" t="s">
        <v>329</v>
      </c>
      <c r="G31" s="13" t="s">
        <v>824</v>
      </c>
      <c r="H31" s="13" t="s">
        <v>823</v>
      </c>
      <c r="I31" s="3" t="s">
        <v>523</v>
      </c>
      <c r="J31" s="17">
        <f>JG</f>
        <v>24</v>
      </c>
      <c r="K31" s="13">
        <v>1</v>
      </c>
      <c r="L31" s="17">
        <f t="shared" si="0"/>
        <v>24</v>
      </c>
      <c r="M31" s="17">
        <f>0.047*0.184*0.005*7850</f>
        <v>0.33943400000000001</v>
      </c>
      <c r="N31" s="19">
        <f t="shared" si="1"/>
        <v>8.1464160000000001E-3</v>
      </c>
      <c r="O31" s="17">
        <f>0.047*2*0.184</f>
        <v>1.7295999999999999E-2</v>
      </c>
      <c r="P31" s="19">
        <f t="shared" si="2"/>
        <v>0.41510399999999997</v>
      </c>
    </row>
    <row r="32" spans="1:17" ht="24">
      <c r="A32" s="12">
        <v>31</v>
      </c>
      <c r="B32" s="2" t="s">
        <v>510</v>
      </c>
      <c r="C32" s="2" t="s">
        <v>486</v>
      </c>
      <c r="D32" s="1" t="s">
        <v>145</v>
      </c>
      <c r="E32" s="13" t="s">
        <v>839</v>
      </c>
      <c r="F32" s="2" t="s">
        <v>29</v>
      </c>
      <c r="G32" s="13" t="s">
        <v>824</v>
      </c>
      <c r="H32" s="13" t="s">
        <v>823</v>
      </c>
      <c r="I32" s="3" t="s">
        <v>525</v>
      </c>
      <c r="J32" s="17">
        <f>JG</f>
        <v>5.8250000000000002</v>
      </c>
      <c r="K32" s="13">
        <v>4</v>
      </c>
      <c r="L32" s="17">
        <f t="shared" si="0"/>
        <v>23.3</v>
      </c>
      <c r="M32" s="17">
        <v>20.9</v>
      </c>
      <c r="N32" s="19">
        <f t="shared" si="1"/>
        <v>0.48696999999999996</v>
      </c>
      <c r="O32" s="17">
        <v>0.77500000000000002</v>
      </c>
      <c r="P32" s="19">
        <f t="shared" si="2"/>
        <v>18.057500000000001</v>
      </c>
    </row>
    <row r="33" spans="1:16" ht="24">
      <c r="A33" s="12">
        <v>32</v>
      </c>
      <c r="B33" s="2" t="s">
        <v>510</v>
      </c>
      <c r="C33" s="2" t="s">
        <v>486</v>
      </c>
      <c r="D33" s="1" t="s">
        <v>39</v>
      </c>
      <c r="E33" s="13" t="s">
        <v>828</v>
      </c>
      <c r="F33" s="2" t="s">
        <v>322</v>
      </c>
      <c r="G33" s="13" t="s">
        <v>824</v>
      </c>
      <c r="H33" s="13" t="s">
        <v>823</v>
      </c>
      <c r="I33" s="3" t="s">
        <v>528</v>
      </c>
      <c r="J33" s="17">
        <f>JG</f>
        <v>10</v>
      </c>
      <c r="K33" s="13">
        <v>1</v>
      </c>
      <c r="L33" s="17">
        <f t="shared" si="0"/>
        <v>10</v>
      </c>
      <c r="M33" s="17">
        <f>0.084*0.222*0.0055*7850</f>
        <v>0.80512740000000005</v>
      </c>
      <c r="N33" s="19">
        <f t="shared" si="1"/>
        <v>8.0512740000000006E-3</v>
      </c>
      <c r="O33" s="17">
        <f>0.084*2*0.222</f>
        <v>3.7296000000000003E-2</v>
      </c>
      <c r="P33" s="19">
        <f t="shared" si="2"/>
        <v>0.37296000000000001</v>
      </c>
    </row>
    <row r="34" spans="1:16" ht="24">
      <c r="A34" s="12">
        <v>33</v>
      </c>
      <c r="B34" s="2" t="s">
        <v>510</v>
      </c>
      <c r="C34" s="2" t="s">
        <v>486</v>
      </c>
      <c r="D34" s="1" t="s">
        <v>330</v>
      </c>
      <c r="E34" s="13" t="s">
        <v>839</v>
      </c>
      <c r="F34" s="2" t="s">
        <v>29</v>
      </c>
      <c r="G34" s="13" t="s">
        <v>824</v>
      </c>
      <c r="H34" s="13" t="s">
        <v>823</v>
      </c>
      <c r="I34" s="3" t="s">
        <v>531</v>
      </c>
      <c r="J34" s="17">
        <f>JG</f>
        <v>1.4125000000000001</v>
      </c>
      <c r="K34" s="13">
        <v>2</v>
      </c>
      <c r="L34" s="17">
        <f t="shared" si="0"/>
        <v>2.8250000000000002</v>
      </c>
      <c r="M34" s="17">
        <v>20.9</v>
      </c>
      <c r="N34" s="19">
        <f t="shared" si="1"/>
        <v>5.9042499999999998E-2</v>
      </c>
      <c r="O34" s="17">
        <v>0.77500000000000002</v>
      </c>
      <c r="P34" s="19">
        <f t="shared" si="2"/>
        <v>2.1893750000000001</v>
      </c>
    </row>
    <row r="35" spans="1:16" ht="24">
      <c r="A35" s="12">
        <v>34</v>
      </c>
      <c r="B35" s="2" t="s">
        <v>510</v>
      </c>
      <c r="C35" s="2" t="s">
        <v>486</v>
      </c>
      <c r="D35" s="1" t="s">
        <v>532</v>
      </c>
      <c r="E35" s="13" t="s">
        <v>828</v>
      </c>
      <c r="F35" s="2" t="s">
        <v>322</v>
      </c>
      <c r="G35" s="13" t="s">
        <v>824</v>
      </c>
      <c r="H35" s="13" t="s">
        <v>823</v>
      </c>
      <c r="I35" s="3" t="s">
        <v>371</v>
      </c>
      <c r="J35" s="17">
        <f>JG</f>
        <v>2</v>
      </c>
      <c r="K35" s="13">
        <v>1</v>
      </c>
      <c r="L35" s="17">
        <f t="shared" si="0"/>
        <v>2</v>
      </c>
      <c r="M35" s="17">
        <f>0.084*0.222*0.0055*7850</f>
        <v>0.80512740000000005</v>
      </c>
      <c r="N35" s="19">
        <f t="shared" si="1"/>
        <v>1.6102548E-3</v>
      </c>
      <c r="O35" s="17">
        <f>0.084*2*0.222</f>
        <v>3.7296000000000003E-2</v>
      </c>
      <c r="P35" s="19">
        <f t="shared" si="2"/>
        <v>7.4592000000000006E-2</v>
      </c>
    </row>
    <row r="36" spans="1:16" ht="24">
      <c r="A36" s="12">
        <v>35</v>
      </c>
      <c r="B36" s="2" t="s">
        <v>510</v>
      </c>
      <c r="C36" s="2" t="s">
        <v>486</v>
      </c>
      <c r="D36" s="1" t="s">
        <v>534</v>
      </c>
      <c r="E36" s="13" t="s">
        <v>838</v>
      </c>
      <c r="F36" s="2" t="s">
        <v>475</v>
      </c>
      <c r="G36" s="13" t="s">
        <v>824</v>
      </c>
      <c r="H36" s="13" t="s">
        <v>823</v>
      </c>
      <c r="I36" s="3" t="s">
        <v>536</v>
      </c>
      <c r="J36" s="17">
        <f>JG</f>
        <v>1.4866068747318506</v>
      </c>
      <c r="K36" s="13">
        <v>4</v>
      </c>
      <c r="L36" s="17">
        <f t="shared" si="0"/>
        <v>5.9464274989274024</v>
      </c>
      <c r="M36" s="17">
        <v>7.47</v>
      </c>
      <c r="N36" s="19">
        <f t="shared" si="1"/>
        <v>4.4419813416987697E-2</v>
      </c>
      <c r="O36" s="17">
        <v>0.247</v>
      </c>
      <c r="P36" s="19">
        <f t="shared" si="2"/>
        <v>1.4687675922350685</v>
      </c>
    </row>
    <row r="37" spans="1:16" ht="24">
      <c r="A37" s="12">
        <v>36</v>
      </c>
      <c r="B37" s="2" t="s">
        <v>510</v>
      </c>
      <c r="C37" s="2" t="s">
        <v>486</v>
      </c>
      <c r="D37" s="1" t="s">
        <v>534</v>
      </c>
      <c r="E37" s="13" t="s">
        <v>838</v>
      </c>
      <c r="F37" s="2" t="s">
        <v>475</v>
      </c>
      <c r="G37" s="13" t="s">
        <v>824</v>
      </c>
      <c r="H37" s="13" t="s">
        <v>823</v>
      </c>
      <c r="I37" s="3" t="s">
        <v>538</v>
      </c>
      <c r="J37" s="17">
        <f>JG</f>
        <v>1.6401219466856727</v>
      </c>
      <c r="K37" s="13">
        <v>1</v>
      </c>
      <c r="L37" s="17">
        <f t="shared" si="0"/>
        <v>1.6401219466856727</v>
      </c>
      <c r="M37" s="17">
        <v>7.47</v>
      </c>
      <c r="N37" s="19">
        <f t="shared" si="1"/>
        <v>1.2251710941741975E-2</v>
      </c>
      <c r="O37" s="17">
        <v>0.247</v>
      </c>
      <c r="P37" s="19">
        <f t="shared" si="2"/>
        <v>0.40511012083136116</v>
      </c>
    </row>
    <row r="38" spans="1:16" ht="24">
      <c r="A38" s="12">
        <v>37</v>
      </c>
      <c r="B38" s="2" t="s">
        <v>539</v>
      </c>
      <c r="C38" s="2" t="s">
        <v>486</v>
      </c>
      <c r="D38" s="1" t="s">
        <v>511</v>
      </c>
      <c r="E38" s="13" t="s">
        <v>839</v>
      </c>
      <c r="F38" s="2" t="s">
        <v>439</v>
      </c>
      <c r="G38" s="13" t="s">
        <v>824</v>
      </c>
      <c r="H38" s="13" t="s">
        <v>823</v>
      </c>
      <c r="I38" s="3" t="s">
        <v>514</v>
      </c>
      <c r="J38" s="17">
        <f>JG</f>
        <v>1.5499999999999998</v>
      </c>
      <c r="K38" s="13">
        <v>3</v>
      </c>
      <c r="L38" s="17">
        <f t="shared" si="0"/>
        <v>4.6499999999999995</v>
      </c>
      <c r="M38" s="17">
        <v>43.6</v>
      </c>
      <c r="N38" s="19">
        <f t="shared" si="1"/>
        <v>0.20273999999999998</v>
      </c>
      <c r="O38" s="17">
        <v>1.1499999999999999</v>
      </c>
      <c r="P38" s="19">
        <f t="shared" si="2"/>
        <v>5.3474999999999993</v>
      </c>
    </row>
    <row r="39" spans="1:16" ht="24">
      <c r="A39" s="12">
        <v>38</v>
      </c>
      <c r="B39" s="2" t="s">
        <v>540</v>
      </c>
      <c r="C39" s="2" t="s">
        <v>486</v>
      </c>
      <c r="D39" s="1" t="s">
        <v>516</v>
      </c>
      <c r="E39" s="13" t="s">
        <v>839</v>
      </c>
      <c r="F39" s="2" t="s">
        <v>502</v>
      </c>
      <c r="G39" s="13" t="s">
        <v>824</v>
      </c>
      <c r="H39" s="13" t="s">
        <v>823</v>
      </c>
      <c r="I39" s="3" t="s">
        <v>519</v>
      </c>
      <c r="J39" s="17">
        <f>JG</f>
        <v>0.45000000000000007</v>
      </c>
      <c r="K39" s="13">
        <v>6</v>
      </c>
      <c r="L39" s="17">
        <f t="shared" si="0"/>
        <v>2.7</v>
      </c>
      <c r="M39" s="17">
        <v>9.3000000000000007</v>
      </c>
      <c r="N39" s="19">
        <f t="shared" si="1"/>
        <v>2.5110000000000004E-2</v>
      </c>
      <c r="O39" s="17">
        <v>0.376</v>
      </c>
      <c r="P39" s="19">
        <f t="shared" si="2"/>
        <v>1.0152000000000001</v>
      </c>
    </row>
    <row r="40" spans="1:16" ht="24">
      <c r="A40" s="12">
        <v>39</v>
      </c>
      <c r="B40" s="2" t="s">
        <v>540</v>
      </c>
      <c r="C40" s="2" t="s">
        <v>486</v>
      </c>
      <c r="D40" s="1" t="s">
        <v>400</v>
      </c>
      <c r="E40" s="13" t="s">
        <v>828</v>
      </c>
      <c r="F40" s="2" t="s">
        <v>521</v>
      </c>
      <c r="G40" s="13" t="s">
        <v>824</v>
      </c>
      <c r="H40" s="13" t="s">
        <v>823</v>
      </c>
      <c r="I40" s="3" t="s">
        <v>522</v>
      </c>
      <c r="J40" s="17">
        <f>JG</f>
        <v>24</v>
      </c>
      <c r="K40" s="13">
        <v>1</v>
      </c>
      <c r="L40" s="17">
        <f t="shared" si="0"/>
        <v>24</v>
      </c>
      <c r="M40" s="17">
        <f>0.047*0.184*0.005*7850</f>
        <v>0.33943400000000001</v>
      </c>
      <c r="N40" s="19">
        <f t="shared" si="1"/>
        <v>8.1464160000000001E-3</v>
      </c>
      <c r="O40" s="17">
        <f>0.047*2*0.184</f>
        <v>1.7295999999999999E-2</v>
      </c>
      <c r="P40" s="19">
        <f t="shared" si="2"/>
        <v>0.41510399999999997</v>
      </c>
    </row>
    <row r="41" spans="1:16" ht="24">
      <c r="A41" s="12">
        <v>40</v>
      </c>
      <c r="B41" s="2" t="s">
        <v>540</v>
      </c>
      <c r="C41" s="2" t="s">
        <v>486</v>
      </c>
      <c r="D41" s="1" t="s">
        <v>412</v>
      </c>
      <c r="E41" s="13" t="s">
        <v>839</v>
      </c>
      <c r="F41" s="2" t="s">
        <v>413</v>
      </c>
      <c r="G41" s="13" t="s">
        <v>824</v>
      </c>
      <c r="H41" s="13" t="s">
        <v>823</v>
      </c>
      <c r="I41" s="3" t="s">
        <v>524</v>
      </c>
      <c r="J41" s="17">
        <f>JG</f>
        <v>5.8250000000000002</v>
      </c>
      <c r="K41" s="13">
        <v>4</v>
      </c>
      <c r="L41" s="17">
        <f t="shared" si="0"/>
        <v>23.3</v>
      </c>
      <c r="M41" s="17">
        <v>20.9</v>
      </c>
      <c r="N41" s="19">
        <f t="shared" si="1"/>
        <v>0.48696999999999996</v>
      </c>
      <c r="O41" s="17">
        <v>0.77500000000000002</v>
      </c>
      <c r="P41" s="19">
        <f t="shared" si="2"/>
        <v>18.057500000000001</v>
      </c>
    </row>
    <row r="42" spans="1:16" ht="24">
      <c r="A42" s="12">
        <v>41</v>
      </c>
      <c r="B42" s="2" t="s">
        <v>540</v>
      </c>
      <c r="C42" s="2" t="s">
        <v>486</v>
      </c>
      <c r="D42" s="1" t="s">
        <v>400</v>
      </c>
      <c r="E42" s="13" t="s">
        <v>828</v>
      </c>
      <c r="F42" s="2" t="s">
        <v>526</v>
      </c>
      <c r="G42" s="13" t="s">
        <v>824</v>
      </c>
      <c r="H42" s="13" t="s">
        <v>823</v>
      </c>
      <c r="I42" s="3" t="s">
        <v>527</v>
      </c>
      <c r="J42" s="17">
        <f>JG</f>
        <v>10</v>
      </c>
      <c r="K42" s="13">
        <v>1</v>
      </c>
      <c r="L42" s="17">
        <f t="shared" si="0"/>
        <v>10</v>
      </c>
      <c r="M42" s="17">
        <f>0.084*0.222*0.0055*7850</f>
        <v>0.80512740000000005</v>
      </c>
      <c r="N42" s="19">
        <f t="shared" si="1"/>
        <v>8.0512740000000006E-3</v>
      </c>
      <c r="O42" s="17">
        <f>0.084*2*0.222</f>
        <v>3.7296000000000003E-2</v>
      </c>
      <c r="P42" s="19">
        <f t="shared" si="2"/>
        <v>0.37296000000000001</v>
      </c>
    </row>
    <row r="43" spans="1:16" ht="24">
      <c r="A43" s="12">
        <v>42</v>
      </c>
      <c r="B43" s="2" t="s">
        <v>540</v>
      </c>
      <c r="C43" s="2" t="s">
        <v>486</v>
      </c>
      <c r="D43" s="1" t="s">
        <v>529</v>
      </c>
      <c r="E43" s="13" t="s">
        <v>839</v>
      </c>
      <c r="F43" s="2" t="s">
        <v>413</v>
      </c>
      <c r="G43" s="13" t="s">
        <v>824</v>
      </c>
      <c r="H43" s="13" t="s">
        <v>823</v>
      </c>
      <c r="I43" s="3" t="s">
        <v>530</v>
      </c>
      <c r="J43" s="17">
        <f>JG</f>
        <v>1.4125000000000001</v>
      </c>
      <c r="K43" s="13">
        <v>2</v>
      </c>
      <c r="L43" s="17">
        <f t="shared" si="0"/>
        <v>2.8250000000000002</v>
      </c>
      <c r="M43" s="17">
        <v>20.9</v>
      </c>
      <c r="N43" s="19">
        <f t="shared" si="1"/>
        <v>5.9042499999999998E-2</v>
      </c>
      <c r="O43" s="17">
        <v>0.77500000000000002</v>
      </c>
      <c r="P43" s="19">
        <f t="shared" si="2"/>
        <v>2.1893750000000001</v>
      </c>
    </row>
    <row r="44" spans="1:16" ht="24">
      <c r="A44" s="12">
        <v>43</v>
      </c>
      <c r="B44" s="2" t="s">
        <v>540</v>
      </c>
      <c r="C44" s="2" t="s">
        <v>486</v>
      </c>
      <c r="D44" s="1" t="s">
        <v>400</v>
      </c>
      <c r="E44" s="13" t="s">
        <v>828</v>
      </c>
      <c r="F44" s="2" t="s">
        <v>526</v>
      </c>
      <c r="G44" s="13" t="s">
        <v>824</v>
      </c>
      <c r="H44" s="13" t="s">
        <v>823</v>
      </c>
      <c r="I44" s="3" t="s">
        <v>402</v>
      </c>
      <c r="J44" s="17">
        <f>JG</f>
        <v>2</v>
      </c>
      <c r="K44" s="13">
        <v>1</v>
      </c>
      <c r="L44" s="17">
        <f t="shared" si="0"/>
        <v>2</v>
      </c>
      <c r="M44" s="17">
        <f>0.084*0.222*0.0055*7850</f>
        <v>0.80512740000000005</v>
      </c>
      <c r="N44" s="19">
        <f t="shared" si="1"/>
        <v>1.6102548E-3</v>
      </c>
      <c r="O44" s="17">
        <f>0.084*2*0.222</f>
        <v>3.7296000000000003E-2</v>
      </c>
      <c r="P44" s="19">
        <f t="shared" si="2"/>
        <v>7.4592000000000006E-2</v>
      </c>
    </row>
    <row r="45" spans="1:16" ht="24">
      <c r="A45" s="12">
        <v>44</v>
      </c>
      <c r="B45" s="2" t="s">
        <v>540</v>
      </c>
      <c r="C45" s="2" t="s">
        <v>486</v>
      </c>
      <c r="D45" s="1" t="s">
        <v>533</v>
      </c>
      <c r="E45" s="13" t="s">
        <v>838</v>
      </c>
      <c r="F45" s="2" t="s">
        <v>474</v>
      </c>
      <c r="G45" s="13" t="s">
        <v>824</v>
      </c>
      <c r="H45" s="13" t="s">
        <v>823</v>
      </c>
      <c r="I45" s="3" t="s">
        <v>535</v>
      </c>
      <c r="J45" s="17">
        <f>JG</f>
        <v>1.4866068747318506</v>
      </c>
      <c r="K45" s="13">
        <v>4</v>
      </c>
      <c r="L45" s="17">
        <f t="shared" ref="L45:L74" si="6">J45*K45</f>
        <v>5.9464274989274024</v>
      </c>
      <c r="M45" s="17">
        <v>7.47</v>
      </c>
      <c r="N45" s="19">
        <f t="shared" ref="N45:N74" si="7">L45*M45*0.001</f>
        <v>4.4419813416987697E-2</v>
      </c>
      <c r="O45" s="17">
        <v>0.247</v>
      </c>
      <c r="P45" s="19">
        <f t="shared" ref="P45:P74" si="8">O45*L45</f>
        <v>1.4687675922350685</v>
      </c>
    </row>
    <row r="46" spans="1:16" ht="24">
      <c r="A46" s="12">
        <v>45</v>
      </c>
      <c r="B46" s="2" t="s">
        <v>540</v>
      </c>
      <c r="C46" s="2" t="s">
        <v>486</v>
      </c>
      <c r="D46" s="1" t="s">
        <v>533</v>
      </c>
      <c r="E46" s="13" t="s">
        <v>838</v>
      </c>
      <c r="F46" s="2" t="s">
        <v>474</v>
      </c>
      <c r="G46" s="13" t="s">
        <v>824</v>
      </c>
      <c r="H46" s="13" t="s">
        <v>823</v>
      </c>
      <c r="I46" s="3" t="s">
        <v>537</v>
      </c>
      <c r="J46" s="17">
        <f>JG</f>
        <v>1.6401219466856727</v>
      </c>
      <c r="K46" s="13">
        <v>1</v>
      </c>
      <c r="L46" s="17">
        <f t="shared" si="6"/>
        <v>1.6401219466856727</v>
      </c>
      <c r="M46" s="17">
        <v>7.47</v>
      </c>
      <c r="N46" s="19">
        <f t="shared" si="7"/>
        <v>1.2251710941741975E-2</v>
      </c>
      <c r="O46" s="17">
        <v>0.247</v>
      </c>
      <c r="P46" s="19">
        <f t="shared" si="8"/>
        <v>0.40511012083136116</v>
      </c>
    </row>
    <row r="47" spans="1:16" ht="24">
      <c r="A47" s="12">
        <v>46</v>
      </c>
      <c r="B47" s="2" t="s">
        <v>509</v>
      </c>
      <c r="C47" s="2" t="s">
        <v>486</v>
      </c>
      <c r="D47" s="1" t="s">
        <v>276</v>
      </c>
      <c r="E47" s="13" t="s">
        <v>839</v>
      </c>
      <c r="F47" s="2" t="s">
        <v>565</v>
      </c>
      <c r="G47" s="13" t="s">
        <v>824</v>
      </c>
      <c r="H47" s="13" t="s">
        <v>823</v>
      </c>
      <c r="I47" s="3">
        <v>6</v>
      </c>
      <c r="J47" s="17">
        <f>JG</f>
        <v>6</v>
      </c>
      <c r="K47" s="13">
        <v>1</v>
      </c>
      <c r="L47" s="17">
        <f t="shared" si="6"/>
        <v>6</v>
      </c>
      <c r="M47" s="17">
        <v>43.6</v>
      </c>
      <c r="N47" s="19">
        <f t="shared" si="7"/>
        <v>0.26160000000000005</v>
      </c>
      <c r="O47" s="17">
        <v>1.1499999999999999</v>
      </c>
      <c r="P47" s="19">
        <f t="shared" si="8"/>
        <v>6.8999999999999995</v>
      </c>
    </row>
    <row r="48" spans="1:16" ht="36">
      <c r="A48" s="12">
        <v>47</v>
      </c>
      <c r="B48" s="2" t="s">
        <v>564</v>
      </c>
      <c r="C48" s="2" t="s">
        <v>486</v>
      </c>
      <c r="D48" s="1" t="s">
        <v>236</v>
      </c>
      <c r="E48" s="13" t="s">
        <v>839</v>
      </c>
      <c r="F48" s="2" t="s">
        <v>237</v>
      </c>
      <c r="G48" s="13" t="s">
        <v>824</v>
      </c>
      <c r="H48" s="13" t="s">
        <v>823</v>
      </c>
      <c r="I48" s="3" t="s">
        <v>542</v>
      </c>
      <c r="J48" s="17">
        <f>JG</f>
        <v>57.2</v>
      </c>
      <c r="K48" s="13">
        <v>1</v>
      </c>
      <c r="L48" s="17">
        <f t="shared" si="6"/>
        <v>57.2</v>
      </c>
      <c r="M48" s="17">
        <v>14</v>
      </c>
      <c r="N48" s="19">
        <f t="shared" si="7"/>
        <v>0.80080000000000007</v>
      </c>
      <c r="O48" s="17">
        <v>0.57599999999999996</v>
      </c>
      <c r="P48" s="19">
        <f t="shared" si="8"/>
        <v>32.947200000000002</v>
      </c>
    </row>
    <row r="49" spans="1:16" ht="24">
      <c r="A49" s="12">
        <v>48</v>
      </c>
      <c r="B49" s="2" t="s">
        <v>541</v>
      </c>
      <c r="C49" s="2" t="s">
        <v>486</v>
      </c>
      <c r="D49" s="1" t="s">
        <v>543</v>
      </c>
      <c r="E49" s="13" t="s">
        <v>828</v>
      </c>
      <c r="F49" s="2" t="s">
        <v>544</v>
      </c>
      <c r="G49" s="13" t="s">
        <v>824</v>
      </c>
      <c r="H49" s="13" t="s">
        <v>823</v>
      </c>
      <c r="I49" s="3" t="s">
        <v>545</v>
      </c>
      <c r="J49" s="17">
        <f>JG</f>
        <v>39</v>
      </c>
      <c r="K49" s="13">
        <v>1</v>
      </c>
      <c r="L49" s="17">
        <f t="shared" si="6"/>
        <v>39</v>
      </c>
      <c r="M49" s="17">
        <f>0.084*0.328*0.005*7850</f>
        <v>1.0814160000000002</v>
      </c>
      <c r="N49" s="19">
        <f t="shared" si="7"/>
        <v>4.2175224000000011E-2</v>
      </c>
      <c r="O49" s="17">
        <f>0.084*2*0.328</f>
        <v>5.5104000000000007E-2</v>
      </c>
      <c r="P49" s="19">
        <f t="shared" si="8"/>
        <v>2.1490560000000003</v>
      </c>
    </row>
    <row r="50" spans="1:16" ht="24">
      <c r="A50" s="12">
        <v>49</v>
      </c>
      <c r="B50" s="2" t="s">
        <v>541</v>
      </c>
      <c r="C50" s="2" t="s">
        <v>486</v>
      </c>
      <c r="D50" s="1" t="s">
        <v>236</v>
      </c>
      <c r="E50" s="13" t="s">
        <v>839</v>
      </c>
      <c r="F50" s="2" t="s">
        <v>237</v>
      </c>
      <c r="G50" s="13" t="s">
        <v>824</v>
      </c>
      <c r="H50" s="13" t="s">
        <v>823</v>
      </c>
      <c r="I50" s="3" t="s">
        <v>546</v>
      </c>
      <c r="J50" s="17">
        <f>JG</f>
        <v>1.2625</v>
      </c>
      <c r="K50" s="13">
        <v>1</v>
      </c>
      <c r="L50" s="17">
        <f t="shared" si="6"/>
        <v>1.2625</v>
      </c>
      <c r="M50" s="17">
        <v>14</v>
      </c>
      <c r="N50" s="19">
        <f t="shared" si="7"/>
        <v>1.7675E-2</v>
      </c>
      <c r="O50" s="17">
        <v>0.57599999999999996</v>
      </c>
      <c r="P50" s="19">
        <f t="shared" si="8"/>
        <v>0.72719999999999996</v>
      </c>
    </row>
    <row r="51" spans="1:16" ht="24">
      <c r="A51" s="12">
        <v>50</v>
      </c>
      <c r="B51" s="2" t="s">
        <v>541</v>
      </c>
      <c r="C51" s="2" t="s">
        <v>486</v>
      </c>
      <c r="D51" s="1" t="s">
        <v>39</v>
      </c>
      <c r="E51" s="13" t="s">
        <v>828</v>
      </c>
      <c r="F51" s="2" t="s">
        <v>547</v>
      </c>
      <c r="G51" s="13" t="s">
        <v>824</v>
      </c>
      <c r="H51" s="13" t="s">
        <v>823</v>
      </c>
      <c r="I51" s="3">
        <v>2</v>
      </c>
      <c r="J51" s="17">
        <f>JG</f>
        <v>2</v>
      </c>
      <c r="K51" s="13">
        <v>1</v>
      </c>
      <c r="L51" s="17">
        <f t="shared" si="6"/>
        <v>2</v>
      </c>
      <c r="M51" s="17">
        <f>0.084*0.328*0.005*7850</f>
        <v>1.0814160000000002</v>
      </c>
      <c r="N51" s="19">
        <f t="shared" si="7"/>
        <v>2.1628320000000004E-3</v>
      </c>
      <c r="O51" s="17">
        <f>0.084*2*0.328</f>
        <v>5.5104000000000007E-2</v>
      </c>
      <c r="P51" s="19">
        <f t="shared" si="8"/>
        <v>0.11020800000000001</v>
      </c>
    </row>
    <row r="52" spans="1:16" ht="24">
      <c r="A52" s="12">
        <v>51</v>
      </c>
      <c r="B52" s="2" t="s">
        <v>541</v>
      </c>
      <c r="C52" s="2" t="s">
        <v>486</v>
      </c>
      <c r="D52" s="1" t="s">
        <v>39</v>
      </c>
      <c r="E52" s="13" t="s">
        <v>828</v>
      </c>
      <c r="F52" s="2" t="s">
        <v>329</v>
      </c>
      <c r="G52" s="13" t="s">
        <v>824</v>
      </c>
      <c r="H52" s="13" t="s">
        <v>823</v>
      </c>
      <c r="I52" s="3">
        <v>2</v>
      </c>
      <c r="J52" s="17">
        <f>JG</f>
        <v>2</v>
      </c>
      <c r="K52" s="13">
        <v>1</v>
      </c>
      <c r="L52" s="17">
        <f t="shared" si="6"/>
        <v>2</v>
      </c>
      <c r="M52" s="17">
        <f>0.047*0.184*0.005*7850</f>
        <v>0.33943400000000001</v>
      </c>
      <c r="N52" s="19">
        <f t="shared" si="7"/>
        <v>6.7886800000000001E-4</v>
      </c>
      <c r="O52" s="17">
        <f>0.047*2*0.184</f>
        <v>1.7295999999999999E-2</v>
      </c>
      <c r="P52" s="19">
        <f t="shared" si="8"/>
        <v>3.4591999999999998E-2</v>
      </c>
    </row>
    <row r="53" spans="1:16" ht="24">
      <c r="A53" s="12">
        <v>52</v>
      </c>
      <c r="B53" s="2" t="s">
        <v>541</v>
      </c>
      <c r="C53" s="2" t="s">
        <v>486</v>
      </c>
      <c r="D53" s="1" t="s">
        <v>548</v>
      </c>
      <c r="E53" s="13" t="s">
        <v>839</v>
      </c>
      <c r="F53" s="2" t="s">
        <v>549</v>
      </c>
      <c r="G53" s="13" t="s">
        <v>824</v>
      </c>
      <c r="H53" s="13" t="s">
        <v>823</v>
      </c>
      <c r="I53" s="3" t="s">
        <v>550</v>
      </c>
      <c r="J53" s="17">
        <f>JG</f>
        <v>5.7874999999999996</v>
      </c>
      <c r="K53" s="13">
        <v>1</v>
      </c>
      <c r="L53" s="17">
        <f t="shared" si="6"/>
        <v>5.7874999999999996</v>
      </c>
      <c r="M53" s="17">
        <v>20.9</v>
      </c>
      <c r="N53" s="19">
        <f t="shared" si="7"/>
        <v>0.12095874999999999</v>
      </c>
      <c r="O53" s="17">
        <v>0.77500000000000002</v>
      </c>
      <c r="P53" s="19">
        <f t="shared" si="8"/>
        <v>4.4853125</v>
      </c>
    </row>
    <row r="54" spans="1:16" ht="24">
      <c r="A54" s="12">
        <v>53</v>
      </c>
      <c r="B54" s="2" t="s">
        <v>541</v>
      </c>
      <c r="C54" s="2" t="s">
        <v>486</v>
      </c>
      <c r="D54" s="1" t="s">
        <v>39</v>
      </c>
      <c r="E54" s="13" t="s">
        <v>828</v>
      </c>
      <c r="F54" s="2" t="s">
        <v>551</v>
      </c>
      <c r="G54" s="13" t="s">
        <v>824</v>
      </c>
      <c r="H54" s="13" t="s">
        <v>823</v>
      </c>
      <c r="I54" s="3" t="s">
        <v>240</v>
      </c>
      <c r="J54" s="17">
        <f>JG</f>
        <v>4</v>
      </c>
      <c r="K54" s="13">
        <v>1</v>
      </c>
      <c r="L54" s="17">
        <f t="shared" si="6"/>
        <v>4</v>
      </c>
      <c r="M54" s="17">
        <f>0.096*0.374*0.0055*7850</f>
        <v>1.5501551999999998</v>
      </c>
      <c r="N54" s="19">
        <f t="shared" si="7"/>
        <v>6.2006207999999998E-3</v>
      </c>
      <c r="O54" s="17">
        <f>0.096*2*0.374</f>
        <v>7.1807999999999997E-2</v>
      </c>
      <c r="P54" s="19">
        <f t="shared" si="8"/>
        <v>0.28723199999999999</v>
      </c>
    </row>
    <row r="55" spans="1:16" ht="24">
      <c r="A55" s="12">
        <v>54</v>
      </c>
      <c r="B55" s="2" t="s">
        <v>541</v>
      </c>
      <c r="C55" s="2" t="s">
        <v>486</v>
      </c>
      <c r="D55" s="1" t="s">
        <v>39</v>
      </c>
      <c r="E55" s="13" t="s">
        <v>828</v>
      </c>
      <c r="F55" s="2" t="s">
        <v>552</v>
      </c>
      <c r="G55" s="13" t="s">
        <v>824</v>
      </c>
      <c r="H55" s="13" t="s">
        <v>823</v>
      </c>
      <c r="I55" s="3">
        <v>2</v>
      </c>
      <c r="J55" s="17">
        <f>JG</f>
        <v>2</v>
      </c>
      <c r="K55" s="13">
        <v>1</v>
      </c>
      <c r="L55" s="17">
        <f t="shared" si="6"/>
        <v>2</v>
      </c>
      <c r="M55" s="17">
        <f>0.059*0.232*0.0055*7850</f>
        <v>0.59097939999999993</v>
      </c>
      <c r="N55" s="19">
        <f t="shared" si="7"/>
        <v>1.1819587999999999E-3</v>
      </c>
      <c r="O55" s="17">
        <f>0.059*2*0.232</f>
        <v>2.7376000000000001E-2</v>
      </c>
      <c r="P55" s="19">
        <f t="shared" si="8"/>
        <v>5.4752000000000002E-2</v>
      </c>
    </row>
    <row r="56" spans="1:16" ht="24">
      <c r="A56" s="12">
        <v>55</v>
      </c>
      <c r="B56" s="2" t="s">
        <v>541</v>
      </c>
      <c r="C56" s="2" t="s">
        <v>486</v>
      </c>
      <c r="D56" s="1" t="s">
        <v>39</v>
      </c>
      <c r="E56" s="13" t="s">
        <v>828</v>
      </c>
      <c r="F56" s="2" t="s">
        <v>553</v>
      </c>
      <c r="G56" s="13" t="s">
        <v>824</v>
      </c>
      <c r="H56" s="13" t="s">
        <v>823</v>
      </c>
      <c r="I56" s="3">
        <v>2</v>
      </c>
      <c r="J56" s="17">
        <f>JG</f>
        <v>2</v>
      </c>
      <c r="K56" s="13">
        <v>1</v>
      </c>
      <c r="L56" s="17">
        <f t="shared" si="6"/>
        <v>2</v>
      </c>
      <c r="M56" s="17">
        <f>0.047*0.184*0.0055*7850</f>
        <v>0.37337739999999997</v>
      </c>
      <c r="N56" s="19">
        <f t="shared" si="7"/>
        <v>7.4675479999999992E-4</v>
      </c>
      <c r="O56" s="17">
        <f>0.047*2*0.184</f>
        <v>1.7295999999999999E-2</v>
      </c>
      <c r="P56" s="19">
        <f t="shared" si="8"/>
        <v>3.4591999999999998E-2</v>
      </c>
    </row>
    <row r="57" spans="1:16" ht="24">
      <c r="A57" s="12">
        <v>56</v>
      </c>
      <c r="B57" s="2" t="s">
        <v>541</v>
      </c>
      <c r="C57" s="2" t="s">
        <v>486</v>
      </c>
      <c r="D57" s="1" t="s">
        <v>554</v>
      </c>
      <c r="E57" s="13" t="s">
        <v>839</v>
      </c>
      <c r="F57" s="2" t="s">
        <v>29</v>
      </c>
      <c r="G57" s="13" t="s">
        <v>824</v>
      </c>
      <c r="H57" s="13" t="s">
        <v>823</v>
      </c>
      <c r="I57" s="3" t="s">
        <v>555</v>
      </c>
      <c r="J57" s="17">
        <f>JG</f>
        <v>2.8250000000000002</v>
      </c>
      <c r="K57" s="13">
        <v>1</v>
      </c>
      <c r="L57" s="17">
        <f t="shared" si="6"/>
        <v>2.8250000000000002</v>
      </c>
      <c r="M57" s="17">
        <v>20.9</v>
      </c>
      <c r="N57" s="19">
        <f t="shared" si="7"/>
        <v>5.9042499999999998E-2</v>
      </c>
      <c r="O57" s="17">
        <v>0.77500000000000002</v>
      </c>
      <c r="P57" s="19">
        <f t="shared" si="8"/>
        <v>2.1893750000000001</v>
      </c>
    </row>
    <row r="58" spans="1:16" ht="24">
      <c r="A58" s="12">
        <v>57</v>
      </c>
      <c r="B58" s="2" t="s">
        <v>541</v>
      </c>
      <c r="C58" s="2" t="s">
        <v>486</v>
      </c>
      <c r="D58" s="1" t="s">
        <v>532</v>
      </c>
      <c r="E58" s="13" t="s">
        <v>828</v>
      </c>
      <c r="F58" s="2" t="s">
        <v>556</v>
      </c>
      <c r="G58" s="13" t="s">
        <v>824</v>
      </c>
      <c r="H58" s="13" t="s">
        <v>823</v>
      </c>
      <c r="I58" s="3">
        <v>2</v>
      </c>
      <c r="J58" s="17">
        <f>JG</f>
        <v>2</v>
      </c>
      <c r="K58" s="13">
        <v>1</v>
      </c>
      <c r="L58" s="17">
        <f t="shared" si="6"/>
        <v>2</v>
      </c>
      <c r="M58" s="17">
        <f>0.084*0.328*0.0055*7850</f>
        <v>1.1895576000000001</v>
      </c>
      <c r="N58" s="19">
        <f t="shared" si="7"/>
        <v>2.3791152000000003E-3</v>
      </c>
      <c r="O58" s="17">
        <f>0.084*2*0.328</f>
        <v>5.5104000000000007E-2</v>
      </c>
      <c r="P58" s="19">
        <f t="shared" si="8"/>
        <v>0.11020800000000001</v>
      </c>
    </row>
    <row r="59" spans="1:16" ht="24">
      <c r="A59" s="12">
        <v>58</v>
      </c>
      <c r="B59" s="2" t="s">
        <v>541</v>
      </c>
      <c r="C59" s="2" t="s">
        <v>486</v>
      </c>
      <c r="D59" s="1" t="s">
        <v>26</v>
      </c>
      <c r="E59" s="13" t="s">
        <v>839</v>
      </c>
      <c r="F59" s="2" t="s">
        <v>30</v>
      </c>
      <c r="G59" s="13" t="s">
        <v>824</v>
      </c>
      <c r="H59" s="13" t="s">
        <v>823</v>
      </c>
      <c r="I59" s="3" t="s">
        <v>557</v>
      </c>
      <c r="J59" s="17">
        <f>JG</f>
        <v>11.100000000000001</v>
      </c>
      <c r="K59" s="13">
        <v>1</v>
      </c>
      <c r="L59" s="17">
        <f t="shared" si="6"/>
        <v>11.100000000000001</v>
      </c>
      <c r="M59" s="17">
        <v>29</v>
      </c>
      <c r="N59" s="19">
        <f t="shared" si="7"/>
        <v>0.32190000000000002</v>
      </c>
      <c r="O59" s="17">
        <v>0.97399999999999998</v>
      </c>
      <c r="P59" s="19">
        <f t="shared" si="8"/>
        <v>10.811400000000001</v>
      </c>
    </row>
    <row r="60" spans="1:16" ht="24">
      <c r="A60" s="12">
        <v>59</v>
      </c>
      <c r="B60" s="2" t="s">
        <v>541</v>
      </c>
      <c r="C60" s="2" t="s">
        <v>486</v>
      </c>
      <c r="D60" s="1" t="s">
        <v>558</v>
      </c>
      <c r="E60" s="13" t="s">
        <v>828</v>
      </c>
      <c r="F60" s="2" t="s">
        <v>559</v>
      </c>
      <c r="G60" s="13" t="s">
        <v>824</v>
      </c>
      <c r="H60" s="13" t="s">
        <v>823</v>
      </c>
      <c r="I60" s="3" t="s">
        <v>560</v>
      </c>
      <c r="J60" s="17">
        <f>JG</f>
        <v>9</v>
      </c>
      <c r="K60" s="13">
        <v>1</v>
      </c>
      <c r="L60" s="17">
        <f t="shared" si="6"/>
        <v>9</v>
      </c>
      <c r="M60" s="17">
        <f>0.084*0.328*0.006*7850</f>
        <v>1.2976992000000003</v>
      </c>
      <c r="N60" s="19">
        <f t="shared" si="7"/>
        <v>1.1679292800000003E-2</v>
      </c>
      <c r="O60" s="17">
        <f>0.084*2*0.328</f>
        <v>5.5104000000000007E-2</v>
      </c>
      <c r="P60" s="19">
        <f t="shared" si="8"/>
        <v>0.49593600000000004</v>
      </c>
    </row>
    <row r="61" spans="1:16" ht="24">
      <c r="A61" s="12">
        <v>60</v>
      </c>
      <c r="B61" s="2" t="s">
        <v>541</v>
      </c>
      <c r="C61" s="2" t="s">
        <v>486</v>
      </c>
      <c r="D61" s="1" t="s">
        <v>260</v>
      </c>
      <c r="E61" s="13" t="s">
        <v>839</v>
      </c>
      <c r="F61" s="2" t="s">
        <v>566</v>
      </c>
      <c r="G61" s="13" t="s">
        <v>824</v>
      </c>
      <c r="H61" s="13" t="s">
        <v>823</v>
      </c>
      <c r="I61" s="3" t="s">
        <v>568</v>
      </c>
      <c r="J61" s="17">
        <f>JG</f>
        <v>69.875</v>
      </c>
      <c r="K61" s="13">
        <v>1</v>
      </c>
      <c r="L61" s="17">
        <f t="shared" si="6"/>
        <v>69.875</v>
      </c>
      <c r="M61" s="17">
        <v>49.4</v>
      </c>
      <c r="N61" s="19">
        <f t="shared" si="7"/>
        <v>3.4518249999999999</v>
      </c>
      <c r="O61" s="17">
        <v>1.36</v>
      </c>
      <c r="P61" s="19">
        <f t="shared" si="8"/>
        <v>95.03</v>
      </c>
    </row>
    <row r="62" spans="1:16" ht="24">
      <c r="A62" s="12">
        <v>61</v>
      </c>
      <c r="B62" s="2" t="s">
        <v>541</v>
      </c>
      <c r="C62" s="2" t="s">
        <v>486</v>
      </c>
      <c r="D62" s="1" t="s">
        <v>569</v>
      </c>
      <c r="E62" s="13" t="s">
        <v>828</v>
      </c>
      <c r="F62" s="2" t="s">
        <v>570</v>
      </c>
      <c r="G62" s="13" t="s">
        <v>824</v>
      </c>
      <c r="H62" s="13" t="s">
        <v>823</v>
      </c>
      <c r="I62" s="3" t="s">
        <v>571</v>
      </c>
      <c r="J62" s="17">
        <f>JG</f>
        <v>44</v>
      </c>
      <c r="K62" s="13">
        <v>1</v>
      </c>
      <c r="L62" s="17">
        <f t="shared" si="6"/>
        <v>44</v>
      </c>
      <c r="M62" s="17">
        <f>0.084*0.328*0.007*7850</f>
        <v>1.5139824000000002</v>
      </c>
      <c r="N62" s="19">
        <f t="shared" si="7"/>
        <v>6.6615225600000008E-2</v>
      </c>
      <c r="O62" s="17">
        <f>0.084*2*0.328</f>
        <v>5.5104000000000007E-2</v>
      </c>
      <c r="P62" s="19">
        <f t="shared" si="8"/>
        <v>2.4245760000000005</v>
      </c>
    </row>
    <row r="63" spans="1:16" ht="24">
      <c r="A63" s="12">
        <v>62</v>
      </c>
      <c r="B63" s="2" t="s">
        <v>541</v>
      </c>
      <c r="C63" s="2" t="s">
        <v>486</v>
      </c>
      <c r="D63" s="1" t="s">
        <v>569</v>
      </c>
      <c r="E63" s="13" t="s">
        <v>828</v>
      </c>
      <c r="F63" s="2" t="s">
        <v>386</v>
      </c>
      <c r="G63" s="13" t="s">
        <v>824</v>
      </c>
      <c r="H63" s="13" t="s">
        <v>823</v>
      </c>
      <c r="I63" s="3" t="s">
        <v>240</v>
      </c>
      <c r="J63" s="17">
        <f>JG</f>
        <v>4</v>
      </c>
      <c r="K63" s="13">
        <v>1</v>
      </c>
      <c r="L63" s="17">
        <f t="shared" si="6"/>
        <v>4</v>
      </c>
      <c r="M63" s="17">
        <f>0.096*0.374*0.007*7850</f>
        <v>1.9729247999999999</v>
      </c>
      <c r="N63" s="19">
        <f t="shared" si="7"/>
        <v>7.8916991999999995E-3</v>
      </c>
      <c r="O63" s="17">
        <f>0.096*2*0.374</f>
        <v>7.1807999999999997E-2</v>
      </c>
      <c r="P63" s="19">
        <f t="shared" si="8"/>
        <v>0.28723199999999999</v>
      </c>
    </row>
    <row r="64" spans="1:16" ht="24">
      <c r="A64" s="12">
        <v>63</v>
      </c>
      <c r="B64" s="2" t="s">
        <v>541</v>
      </c>
      <c r="C64" s="2" t="s">
        <v>486</v>
      </c>
      <c r="D64" s="1" t="s">
        <v>305</v>
      </c>
      <c r="E64" s="13" t="s">
        <v>839</v>
      </c>
      <c r="F64" s="2" t="s">
        <v>567</v>
      </c>
      <c r="G64" s="13" t="s">
        <v>824</v>
      </c>
      <c r="H64" s="13" t="s">
        <v>823</v>
      </c>
      <c r="I64" s="3">
        <v>6</v>
      </c>
      <c r="J64" s="17">
        <f>JG</f>
        <v>6</v>
      </c>
      <c r="K64" s="13">
        <v>22</v>
      </c>
      <c r="L64" s="17">
        <f t="shared" si="6"/>
        <v>132</v>
      </c>
      <c r="M64" s="17">
        <v>49.4</v>
      </c>
      <c r="N64" s="19">
        <f t="shared" si="7"/>
        <v>6.5208000000000004</v>
      </c>
      <c r="O64" s="17">
        <v>1.36</v>
      </c>
      <c r="P64" s="19">
        <f t="shared" si="8"/>
        <v>179.52</v>
      </c>
    </row>
    <row r="65" spans="1:16" ht="36">
      <c r="A65" s="12">
        <v>64</v>
      </c>
      <c r="B65" s="2" t="s">
        <v>541</v>
      </c>
      <c r="C65" s="2" t="s">
        <v>486</v>
      </c>
      <c r="D65" s="1" t="s">
        <v>562</v>
      </c>
      <c r="E65" s="13" t="s">
        <v>839</v>
      </c>
      <c r="F65" s="2" t="s">
        <v>561</v>
      </c>
      <c r="G65" s="13" t="s">
        <v>824</v>
      </c>
      <c r="H65" s="13" t="s">
        <v>823</v>
      </c>
      <c r="I65" s="3" t="s">
        <v>563</v>
      </c>
      <c r="J65" s="17">
        <f>JG</f>
        <v>75.45</v>
      </c>
      <c r="K65" s="13">
        <v>1</v>
      </c>
      <c r="L65" s="17">
        <f t="shared" si="6"/>
        <v>75.45</v>
      </c>
      <c r="M65" s="17">
        <v>49.4</v>
      </c>
      <c r="N65" s="19">
        <f t="shared" si="7"/>
        <v>3.72723</v>
      </c>
      <c r="O65" s="17">
        <v>1.36</v>
      </c>
      <c r="P65" s="19">
        <f t="shared" si="8"/>
        <v>102.61200000000001</v>
      </c>
    </row>
    <row r="66" spans="1:16" ht="24">
      <c r="A66" s="12">
        <v>65</v>
      </c>
      <c r="B66" s="2" t="s">
        <v>541</v>
      </c>
      <c r="C66" s="2" t="s">
        <v>486</v>
      </c>
      <c r="D66" s="1" t="s">
        <v>572</v>
      </c>
      <c r="E66" s="13" t="s">
        <v>839</v>
      </c>
      <c r="F66" s="2" t="s">
        <v>573</v>
      </c>
      <c r="G66" s="13" t="s">
        <v>824</v>
      </c>
      <c r="H66" s="13" t="s">
        <v>823</v>
      </c>
      <c r="I66" s="3">
        <v>6</v>
      </c>
      <c r="J66" s="17">
        <f>JG</f>
        <v>6</v>
      </c>
      <c r="K66" s="13">
        <v>2</v>
      </c>
      <c r="L66" s="17">
        <f t="shared" si="6"/>
        <v>12</v>
      </c>
      <c r="M66" s="17">
        <v>65.400000000000006</v>
      </c>
      <c r="N66" s="19">
        <f t="shared" si="7"/>
        <v>0.78480000000000005</v>
      </c>
      <c r="O66" s="17">
        <v>1.56</v>
      </c>
      <c r="P66" s="19">
        <f t="shared" si="8"/>
        <v>18.72</v>
      </c>
    </row>
    <row r="67" spans="1:16" ht="24">
      <c r="A67" s="12">
        <v>66</v>
      </c>
      <c r="B67" s="2" t="s">
        <v>541</v>
      </c>
      <c r="C67" s="2" t="s">
        <v>486</v>
      </c>
      <c r="D67" s="1" t="s">
        <v>575</v>
      </c>
      <c r="E67" s="13" t="s">
        <v>830</v>
      </c>
      <c r="F67" s="2" t="s">
        <v>31</v>
      </c>
      <c r="G67" s="13" t="s">
        <v>824</v>
      </c>
      <c r="H67" s="13" t="s">
        <v>823</v>
      </c>
      <c r="I67" s="3" t="s">
        <v>576</v>
      </c>
      <c r="J67" s="17">
        <f>JG</f>
        <v>4.2074338972822858</v>
      </c>
      <c r="K67" s="13">
        <v>4</v>
      </c>
      <c r="L67" s="17">
        <f t="shared" si="6"/>
        <v>16.829735589129143</v>
      </c>
      <c r="M67" s="17">
        <v>14.5</v>
      </c>
      <c r="N67" s="19">
        <f t="shared" si="7"/>
        <v>0.24403116604237257</v>
      </c>
      <c r="O67" s="17">
        <v>0.49299999999999999</v>
      </c>
      <c r="P67" s="19">
        <f t="shared" si="8"/>
        <v>8.2970596454406671</v>
      </c>
    </row>
    <row r="68" spans="1:16" ht="24">
      <c r="A68" s="12">
        <v>67</v>
      </c>
      <c r="B68" s="2" t="s">
        <v>541</v>
      </c>
      <c r="C68" s="2" t="s">
        <v>486</v>
      </c>
      <c r="D68" s="1" t="s">
        <v>575</v>
      </c>
      <c r="E68" s="13" t="s">
        <v>830</v>
      </c>
      <c r="F68" s="2" t="s">
        <v>31</v>
      </c>
      <c r="G68" s="13" t="s">
        <v>824</v>
      </c>
      <c r="H68" s="13" t="s">
        <v>823</v>
      </c>
      <c r="I68" s="3" t="s">
        <v>577</v>
      </c>
      <c r="J68" s="17">
        <f>JG</f>
        <v>4.2781421201264456</v>
      </c>
      <c r="K68" s="13">
        <v>4</v>
      </c>
      <c r="L68" s="17">
        <f t="shared" si="6"/>
        <v>17.112568480505782</v>
      </c>
      <c r="M68" s="17">
        <v>14.5</v>
      </c>
      <c r="N68" s="19">
        <f t="shared" si="7"/>
        <v>0.24813224296733385</v>
      </c>
      <c r="O68" s="17">
        <v>0.49299999999999999</v>
      </c>
      <c r="P68" s="19">
        <f t="shared" si="8"/>
        <v>8.436496260889351</v>
      </c>
    </row>
    <row r="69" spans="1:16" ht="24">
      <c r="A69" s="12">
        <v>68</v>
      </c>
      <c r="B69" s="2" t="s">
        <v>510</v>
      </c>
      <c r="C69" s="2" t="s">
        <v>578</v>
      </c>
      <c r="D69" s="1" t="s">
        <v>579</v>
      </c>
      <c r="E69" s="13" t="s">
        <v>839</v>
      </c>
      <c r="F69" s="2" t="s">
        <v>277</v>
      </c>
      <c r="G69" s="13" t="s">
        <v>824</v>
      </c>
      <c r="H69" s="13" t="s">
        <v>823</v>
      </c>
      <c r="I69" s="3">
        <v>6</v>
      </c>
      <c r="J69" s="17">
        <f>JG</f>
        <v>6</v>
      </c>
      <c r="K69" s="13">
        <v>1</v>
      </c>
      <c r="L69" s="17">
        <f t="shared" si="6"/>
        <v>6</v>
      </c>
      <c r="M69" s="17">
        <v>43.6</v>
      </c>
      <c r="N69" s="19">
        <f t="shared" si="7"/>
        <v>0.26160000000000005</v>
      </c>
      <c r="O69" s="17">
        <v>1.1499999999999999</v>
      </c>
      <c r="P69" s="19">
        <f t="shared" si="8"/>
        <v>6.8999999999999995</v>
      </c>
    </row>
    <row r="70" spans="1:16" ht="24">
      <c r="A70" s="12">
        <v>69</v>
      </c>
      <c r="C70" s="2" t="s">
        <v>578</v>
      </c>
      <c r="D70" s="1" t="s">
        <v>188</v>
      </c>
      <c r="E70" s="13" t="s">
        <v>839</v>
      </c>
      <c r="F70" s="2" t="s">
        <v>189</v>
      </c>
      <c r="G70" s="13" t="s">
        <v>824</v>
      </c>
      <c r="H70" s="13" t="s">
        <v>823</v>
      </c>
      <c r="I70" s="3" t="s">
        <v>190</v>
      </c>
      <c r="J70" s="17">
        <f>JG</f>
        <v>4.1036569057366385</v>
      </c>
      <c r="K70" s="13">
        <v>8</v>
      </c>
      <c r="L70" s="17">
        <f t="shared" si="6"/>
        <v>32.829255245893108</v>
      </c>
      <c r="M70" s="17">
        <v>31.1</v>
      </c>
      <c r="N70" s="19">
        <f t="shared" si="7"/>
        <v>1.0209898381472757</v>
      </c>
      <c r="O70" s="17">
        <v>0.872</v>
      </c>
      <c r="P70" s="19">
        <f t="shared" si="8"/>
        <v>28.62711057441879</v>
      </c>
    </row>
    <row r="71" spans="1:16" ht="24">
      <c r="A71" s="12">
        <v>70</v>
      </c>
      <c r="C71" s="2" t="s">
        <v>578</v>
      </c>
      <c r="D71" s="1" t="s">
        <v>188</v>
      </c>
      <c r="E71" s="13" t="s">
        <v>839</v>
      </c>
      <c r="F71" s="2" t="s">
        <v>189</v>
      </c>
      <c r="G71" s="13" t="s">
        <v>824</v>
      </c>
      <c r="H71" s="13" t="s">
        <v>823</v>
      </c>
      <c r="I71" s="3" t="s">
        <v>580</v>
      </c>
      <c r="J71" s="17">
        <f>JG</f>
        <v>2.4041630560342613</v>
      </c>
      <c r="K71" s="13">
        <v>4</v>
      </c>
      <c r="L71" s="17">
        <f t="shared" si="6"/>
        <v>9.6166522241370451</v>
      </c>
      <c r="M71" s="17">
        <v>31.1</v>
      </c>
      <c r="N71" s="19">
        <f t="shared" si="7"/>
        <v>0.29907788417066211</v>
      </c>
      <c r="O71" s="17">
        <v>0.872</v>
      </c>
      <c r="P71" s="19">
        <f t="shared" si="8"/>
        <v>8.3857207394475033</v>
      </c>
    </row>
    <row r="72" spans="1:16" ht="24">
      <c r="A72" s="12">
        <v>71</v>
      </c>
      <c r="C72" s="2" t="s">
        <v>581</v>
      </c>
      <c r="D72" s="1" t="s">
        <v>188</v>
      </c>
      <c r="E72" s="13" t="s">
        <v>839</v>
      </c>
      <c r="F72" s="2" t="s">
        <v>189</v>
      </c>
      <c r="G72" s="13" t="s">
        <v>824</v>
      </c>
      <c r="H72" s="13" t="s">
        <v>823</v>
      </c>
      <c r="I72" s="3" t="s">
        <v>190</v>
      </c>
      <c r="J72" s="17">
        <f>JG</f>
        <v>4.1036569057366385</v>
      </c>
      <c r="K72" s="13">
        <v>2</v>
      </c>
      <c r="L72" s="17">
        <f t="shared" si="6"/>
        <v>8.2073138114732771</v>
      </c>
      <c r="M72" s="17">
        <v>31.1</v>
      </c>
      <c r="N72" s="19">
        <f t="shared" si="7"/>
        <v>0.25524745953681893</v>
      </c>
      <c r="O72" s="17">
        <v>0.872</v>
      </c>
      <c r="P72" s="19">
        <f t="shared" si="8"/>
        <v>7.1567776436046975</v>
      </c>
    </row>
    <row r="73" spans="1:16" ht="24">
      <c r="A73" s="12">
        <v>72</v>
      </c>
      <c r="C73" s="2" t="s">
        <v>581</v>
      </c>
      <c r="D73" s="1" t="s">
        <v>188</v>
      </c>
      <c r="E73" s="13" t="s">
        <v>839</v>
      </c>
      <c r="F73" s="2" t="s">
        <v>189</v>
      </c>
      <c r="G73" s="13" t="s">
        <v>824</v>
      </c>
      <c r="H73" s="13" t="s">
        <v>823</v>
      </c>
      <c r="I73" s="3" t="s">
        <v>580</v>
      </c>
      <c r="J73" s="17">
        <f>JG</f>
        <v>2.4041630560342613</v>
      </c>
      <c r="K73" s="13">
        <v>2</v>
      </c>
      <c r="L73" s="17">
        <f t="shared" si="6"/>
        <v>4.8083261120685226</v>
      </c>
      <c r="M73" s="17">
        <v>31.1</v>
      </c>
      <c r="N73" s="19">
        <f t="shared" si="7"/>
        <v>0.14953894208533106</v>
      </c>
      <c r="O73" s="17">
        <v>0.872</v>
      </c>
      <c r="P73" s="19">
        <f t="shared" si="8"/>
        <v>4.1928603697237516</v>
      </c>
    </row>
    <row r="74" spans="1:16" ht="24">
      <c r="A74" s="12">
        <v>73</v>
      </c>
      <c r="C74" s="2" t="s">
        <v>582</v>
      </c>
      <c r="D74" s="1" t="s">
        <v>473</v>
      </c>
      <c r="E74" s="13" t="s">
        <v>838</v>
      </c>
      <c r="F74" s="2" t="s">
        <v>475</v>
      </c>
      <c r="G74" s="13" t="s">
        <v>824</v>
      </c>
      <c r="H74" s="13" t="s">
        <v>823</v>
      </c>
      <c r="I74" s="3" t="s">
        <v>583</v>
      </c>
      <c r="J74" s="17">
        <f>JG</f>
        <v>1.4142135623730951</v>
      </c>
      <c r="L74" s="17">
        <f t="shared" si="6"/>
        <v>0</v>
      </c>
      <c r="M74" s="17">
        <v>7.47</v>
      </c>
      <c r="N74" s="19">
        <f t="shared" si="7"/>
        <v>0</v>
      </c>
      <c r="O74" s="17">
        <v>0.247</v>
      </c>
      <c r="P74" s="19">
        <f t="shared" si="8"/>
        <v>0</v>
      </c>
    </row>
    <row r="75" spans="1:16">
      <c r="A75" s="13" t="s">
        <v>60</v>
      </c>
      <c r="N75" s="19">
        <f>SUBTOTAL(109,N2:N74)</f>
        <v>27.923050925667251</v>
      </c>
      <c r="P75" s="19">
        <f>SUBTOTAL(109,P2:P74)</f>
        <v>767.15655015965751</v>
      </c>
    </row>
  </sheetData>
  <autoFilter ref="A1:Q1">
    <sortState ref="A6:R604">
      <sortCondition ref="A6:A604"/>
    </sortState>
  </autoFilter>
  <sortState ref="A2:Q64">
    <sortCondition ref="A2:A64"/>
  </sortState>
  <phoneticPr fontId="2" type="noConversion"/>
  <conditionalFormatting sqref="A1:Q1048576">
    <cfRule type="expression" dxfId="7" priority="1">
      <formula>($A1="序号")+($A1="汇总")</formula>
    </cfRule>
    <cfRule type="expression" dxfId="6" priority="2">
      <formula>($A1&amp;$B1&amp;$C1&amp;$D1&amp;$E1&amp;$F1&amp;$G1&amp;$H1&amp;$I1&amp;$J1&amp;$K1&amp;$L1&amp;$M1&amp;$N1&amp;$O1&amp;$P1&amp;$Q1&lt;&gt;"")</formula>
    </cfRule>
  </conditionalFormatting>
  <printOptions horizontalCentered="1"/>
  <pageMargins left="0.51181102362204722" right="0.51181102362204722" top="0.59055118110236227" bottom="0.39370078740157483" header="0.31496062992125984" footer="0.31496062992125984"/>
  <pageSetup paperSize="9" scale="83" fitToHeight="0" orientation="landscape" r:id="rId1"/>
  <headerFooter alignWithMargins="0">
    <oddFooter>&amp;C第 &amp;P 页，共 &amp;N 页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Q48"/>
  <sheetViews>
    <sheetView workbookViewId="0">
      <pane ySplit="1" topLeftCell="A29" activePane="bottomLeft" state="frozen"/>
      <selection activeCell="A36" sqref="A36"/>
      <selection pane="bottomLeft" activeCell="P48" sqref="P48"/>
    </sheetView>
  </sheetViews>
  <sheetFormatPr defaultColWidth="9" defaultRowHeight="12"/>
  <cols>
    <col min="1" max="1" width="4.375" style="13" customWidth="1"/>
    <col min="2" max="2" width="9" style="2" customWidth="1"/>
    <col min="3" max="3" width="13.625" style="2" customWidth="1"/>
    <col min="4" max="4" width="10.5" style="1" customWidth="1"/>
    <col min="5" max="5" width="12.5" style="13" customWidth="1"/>
    <col min="6" max="6" width="15.625" style="2" customWidth="1"/>
    <col min="7" max="7" width="7.5" style="13" customWidth="1"/>
    <col min="8" max="8" width="6.125" style="13" customWidth="1"/>
    <col min="9" max="9" width="18.5" style="3" customWidth="1"/>
    <col min="10" max="10" width="9.625" style="17" customWidth="1"/>
    <col min="11" max="11" width="7.5" style="13" customWidth="1"/>
    <col min="12" max="12" width="9" style="17"/>
    <col min="13" max="13" width="9.375" style="17" customWidth="1"/>
    <col min="14" max="14" width="8.625" style="19" customWidth="1"/>
    <col min="15" max="15" width="8.625" style="17" customWidth="1"/>
    <col min="16" max="16" width="9.5" style="19" bestFit="1" customWidth="1"/>
    <col min="17" max="17" width="9.125" style="13" customWidth="1"/>
    <col min="18" max="16384" width="9" style="13"/>
  </cols>
  <sheetData>
    <row r="1" spans="1:17" s="1" customFormat="1" ht="24">
      <c r="A1" s="4" t="s">
        <v>0</v>
      </c>
      <c r="B1" s="5" t="s">
        <v>1</v>
      </c>
      <c r="C1" s="5" t="s">
        <v>2</v>
      </c>
      <c r="D1" s="4" t="s">
        <v>3</v>
      </c>
      <c r="E1" s="4" t="s">
        <v>4</v>
      </c>
      <c r="F1" s="5" t="s">
        <v>5</v>
      </c>
      <c r="G1" s="4" t="s">
        <v>6</v>
      </c>
      <c r="H1" s="4" t="s">
        <v>7</v>
      </c>
      <c r="I1" s="5" t="s">
        <v>8</v>
      </c>
      <c r="J1" s="9" t="s">
        <v>9</v>
      </c>
      <c r="K1" s="4" t="s">
        <v>10</v>
      </c>
      <c r="L1" s="9" t="s">
        <v>11</v>
      </c>
      <c r="M1" s="9" t="s">
        <v>12</v>
      </c>
      <c r="N1" s="10" t="s">
        <v>13</v>
      </c>
      <c r="O1" s="9" t="s">
        <v>14</v>
      </c>
      <c r="P1" s="10" t="s">
        <v>15</v>
      </c>
      <c r="Q1" s="4" t="s">
        <v>16</v>
      </c>
    </row>
    <row r="2" spans="1:17" s="15" customFormat="1" ht="60">
      <c r="A2" s="12">
        <v>1</v>
      </c>
      <c r="B2" s="7" t="s">
        <v>591</v>
      </c>
      <c r="C2" s="5" t="s">
        <v>586</v>
      </c>
      <c r="D2" s="6" t="s">
        <v>588</v>
      </c>
      <c r="E2" s="12" t="s">
        <v>841</v>
      </c>
      <c r="F2" s="7" t="s">
        <v>211</v>
      </c>
      <c r="G2" s="12" t="s">
        <v>824</v>
      </c>
      <c r="H2" s="14" t="s">
        <v>823</v>
      </c>
      <c r="I2" s="8" t="s">
        <v>592</v>
      </c>
      <c r="J2" s="16">
        <f>JG</f>
        <v>167.09200000000001</v>
      </c>
      <c r="K2" s="14">
        <v>1</v>
      </c>
      <c r="L2" s="16">
        <f t="shared" ref="L2:L47" si="0">J2*K2</f>
        <v>167.09200000000001</v>
      </c>
      <c r="M2" s="16">
        <v>71.8</v>
      </c>
      <c r="N2" s="18">
        <f t="shared" ref="N2:N47" si="1">L2*M2*0.001</f>
        <v>11.997205600000001</v>
      </c>
      <c r="O2" s="16">
        <v>1.46</v>
      </c>
      <c r="P2" s="18">
        <f t="shared" ref="P2:P47" si="2">O2*L2</f>
        <v>243.95432000000002</v>
      </c>
      <c r="Q2" s="12"/>
    </row>
    <row r="3" spans="1:17">
      <c r="A3" s="12">
        <v>2</v>
      </c>
      <c r="B3" s="7" t="s">
        <v>591</v>
      </c>
      <c r="C3" s="5" t="s">
        <v>586</v>
      </c>
      <c r="D3" s="1" t="s">
        <v>589</v>
      </c>
      <c r="E3" s="13" t="s">
        <v>828</v>
      </c>
      <c r="F3" s="7" t="s">
        <v>590</v>
      </c>
      <c r="G3" s="12" t="s">
        <v>824</v>
      </c>
      <c r="H3" s="14" t="s">
        <v>823</v>
      </c>
      <c r="I3" s="3" t="s">
        <v>593</v>
      </c>
      <c r="J3" s="16">
        <f>JG</f>
        <v>50</v>
      </c>
      <c r="K3" s="14">
        <v>1</v>
      </c>
      <c r="L3" s="16">
        <f t="shared" si="0"/>
        <v>50</v>
      </c>
      <c r="M3" s="16">
        <f>0.53*0.53*0.036*7850</f>
        <v>79.382339999999999</v>
      </c>
      <c r="N3" s="18">
        <f t="shared" si="1"/>
        <v>3.9691170000000002</v>
      </c>
      <c r="O3" s="16">
        <f>0.53*0.53</f>
        <v>0.28090000000000004</v>
      </c>
      <c r="P3" s="18">
        <f t="shared" si="2"/>
        <v>14.045000000000002</v>
      </c>
    </row>
    <row r="4" spans="1:17" ht="24">
      <c r="A4" s="12">
        <v>3</v>
      </c>
      <c r="B4" s="7" t="s">
        <v>591</v>
      </c>
      <c r="C4" s="5" t="s">
        <v>586</v>
      </c>
      <c r="D4" s="1" t="s">
        <v>589</v>
      </c>
      <c r="E4" s="13" t="s">
        <v>828</v>
      </c>
      <c r="F4" s="2" t="s">
        <v>661</v>
      </c>
      <c r="G4" s="12" t="s">
        <v>824</v>
      </c>
      <c r="H4" s="14" t="s">
        <v>823</v>
      </c>
      <c r="I4" s="3" t="s">
        <v>635</v>
      </c>
      <c r="J4" s="16">
        <f>JG</f>
        <v>400</v>
      </c>
      <c r="K4" s="14">
        <v>1</v>
      </c>
      <c r="L4" s="16">
        <f t="shared" si="0"/>
        <v>400</v>
      </c>
      <c r="M4" s="16">
        <f>(0.25*0.14-0.2*0.5*0.11)*0.01*7850</f>
        <v>1.8840000000000001</v>
      </c>
      <c r="N4" s="18">
        <f t="shared" si="1"/>
        <v>0.75360000000000005</v>
      </c>
      <c r="O4" s="16">
        <f>0.25*2*0.14-0.2*0.11</f>
        <v>4.8000000000000001E-2</v>
      </c>
      <c r="P4" s="18">
        <f t="shared" si="2"/>
        <v>19.2</v>
      </c>
    </row>
    <row r="5" spans="1:17" ht="24">
      <c r="A5" s="12">
        <v>4</v>
      </c>
      <c r="B5" s="2" t="s">
        <v>594</v>
      </c>
      <c r="C5" s="5" t="s">
        <v>586</v>
      </c>
      <c r="D5" s="1" t="s">
        <v>596</v>
      </c>
      <c r="E5" s="13" t="s">
        <v>841</v>
      </c>
      <c r="F5" s="2" t="s">
        <v>28</v>
      </c>
      <c r="G5" s="12" t="s">
        <v>824</v>
      </c>
      <c r="H5" s="14" t="s">
        <v>823</v>
      </c>
      <c r="I5" s="3" t="s">
        <v>599</v>
      </c>
      <c r="J5" s="16">
        <f>JG</f>
        <v>240.75</v>
      </c>
      <c r="K5" s="13">
        <v>1</v>
      </c>
      <c r="L5" s="16">
        <f t="shared" si="0"/>
        <v>240.75</v>
      </c>
      <c r="M5" s="16">
        <v>78.099999999999994</v>
      </c>
      <c r="N5" s="18">
        <f t="shared" si="1"/>
        <v>18.802574999999997</v>
      </c>
      <c r="O5" s="16">
        <v>1.64</v>
      </c>
      <c r="P5" s="18">
        <f t="shared" si="2"/>
        <v>394.83</v>
      </c>
    </row>
    <row r="6" spans="1:17" ht="24">
      <c r="A6" s="12">
        <v>5</v>
      </c>
      <c r="B6" s="2" t="s">
        <v>594</v>
      </c>
      <c r="C6" s="5" t="s">
        <v>586</v>
      </c>
      <c r="D6" s="1" t="s">
        <v>596</v>
      </c>
      <c r="E6" s="13" t="s">
        <v>842</v>
      </c>
      <c r="F6" s="2" t="s">
        <v>597</v>
      </c>
      <c r="G6" s="12" t="s">
        <v>824</v>
      </c>
      <c r="H6" s="14" t="s">
        <v>823</v>
      </c>
      <c r="I6" s="3" t="s">
        <v>600</v>
      </c>
      <c r="J6" s="16">
        <f>JG</f>
        <v>19.675000000000001</v>
      </c>
      <c r="K6" s="13">
        <v>1</v>
      </c>
      <c r="L6" s="16">
        <f t="shared" si="0"/>
        <v>19.675000000000001</v>
      </c>
      <c r="M6" s="16">
        <v>27.9</v>
      </c>
      <c r="N6" s="18">
        <f t="shared" si="1"/>
        <v>0.54893250000000005</v>
      </c>
      <c r="O6" s="16">
        <v>0.74199999999999999</v>
      </c>
      <c r="P6" s="18">
        <f t="shared" si="2"/>
        <v>14.598850000000001</v>
      </c>
    </row>
    <row r="7" spans="1:17">
      <c r="A7" s="12">
        <v>6</v>
      </c>
      <c r="B7" s="2" t="s">
        <v>598</v>
      </c>
      <c r="C7" s="5" t="s">
        <v>586</v>
      </c>
      <c r="D7" s="1" t="s">
        <v>596</v>
      </c>
      <c r="E7" s="13" t="s">
        <v>841</v>
      </c>
      <c r="F7" s="2" t="s">
        <v>252</v>
      </c>
      <c r="G7" s="12" t="s">
        <v>824</v>
      </c>
      <c r="H7" s="14" t="s">
        <v>823</v>
      </c>
      <c r="I7" s="3" t="s">
        <v>601</v>
      </c>
      <c r="J7" s="16">
        <f>JG</f>
        <v>9.75</v>
      </c>
      <c r="K7" s="13">
        <v>1</v>
      </c>
      <c r="L7" s="16">
        <f t="shared" si="0"/>
        <v>9.75</v>
      </c>
      <c r="M7" s="16">
        <v>36.700000000000003</v>
      </c>
      <c r="N7" s="18">
        <f t="shared" si="1"/>
        <v>0.35782500000000006</v>
      </c>
      <c r="O7" s="16">
        <v>1.1599999999999999</v>
      </c>
      <c r="P7" s="18">
        <f t="shared" si="2"/>
        <v>11.309999999999999</v>
      </c>
    </row>
    <row r="8" spans="1:17" ht="24">
      <c r="A8" s="12">
        <v>7</v>
      </c>
      <c r="C8" s="2" t="s">
        <v>602</v>
      </c>
      <c r="D8" s="1" t="s">
        <v>603</v>
      </c>
      <c r="E8" s="13" t="s">
        <v>841</v>
      </c>
      <c r="F8" s="2" t="s">
        <v>604</v>
      </c>
      <c r="G8" s="12" t="s">
        <v>824</v>
      </c>
      <c r="H8" s="14" t="s">
        <v>823</v>
      </c>
      <c r="I8" s="3" t="s">
        <v>605</v>
      </c>
      <c r="J8" s="16">
        <f>JG</f>
        <v>4.1438629320960896</v>
      </c>
      <c r="K8" s="13">
        <v>2</v>
      </c>
      <c r="L8" s="16">
        <f t="shared" si="0"/>
        <v>8.2877258641921792</v>
      </c>
      <c r="M8" s="16">
        <v>31.1</v>
      </c>
      <c r="N8" s="18">
        <f t="shared" si="1"/>
        <v>0.25774827437637682</v>
      </c>
      <c r="O8" s="16">
        <v>0.872</v>
      </c>
      <c r="P8" s="18">
        <f t="shared" si="2"/>
        <v>7.2268969535755803</v>
      </c>
    </row>
    <row r="9" spans="1:17" ht="24">
      <c r="A9" s="12">
        <v>8</v>
      </c>
      <c r="B9" s="2" t="s">
        <v>654</v>
      </c>
      <c r="C9" s="2" t="s">
        <v>607</v>
      </c>
      <c r="D9" s="1" t="s">
        <v>588</v>
      </c>
      <c r="E9" s="13" t="s">
        <v>841</v>
      </c>
      <c r="F9" s="2" t="s">
        <v>223</v>
      </c>
      <c r="G9" s="12" t="s">
        <v>824</v>
      </c>
      <c r="H9" s="14" t="s">
        <v>823</v>
      </c>
      <c r="I9" s="3" t="s">
        <v>609</v>
      </c>
      <c r="J9" s="16">
        <f>JG</f>
        <v>1.3549999999999995</v>
      </c>
      <c r="K9" s="13">
        <v>2</v>
      </c>
      <c r="L9" s="16">
        <f t="shared" si="0"/>
        <v>2.7099999999999991</v>
      </c>
      <c r="M9" s="16">
        <v>16.899999999999999</v>
      </c>
      <c r="N9" s="18">
        <f t="shared" si="1"/>
        <v>4.5798999999999979E-2</v>
      </c>
      <c r="O9" s="16">
        <v>0.57399999999999995</v>
      </c>
      <c r="P9" s="18">
        <f t="shared" si="2"/>
        <v>1.5555399999999993</v>
      </c>
    </row>
    <row r="10" spans="1:17" ht="24">
      <c r="A10" s="12">
        <v>9</v>
      </c>
      <c r="B10" s="2" t="s">
        <v>654</v>
      </c>
      <c r="C10" s="2" t="s">
        <v>607</v>
      </c>
      <c r="D10" s="1" t="s">
        <v>596</v>
      </c>
      <c r="E10" s="13" t="s">
        <v>841</v>
      </c>
      <c r="F10" s="2" t="s">
        <v>277</v>
      </c>
      <c r="G10" s="12" t="s">
        <v>824</v>
      </c>
      <c r="H10" s="14" t="s">
        <v>823</v>
      </c>
      <c r="I10" s="3" t="s">
        <v>614</v>
      </c>
      <c r="J10" s="16">
        <f>JG</f>
        <v>19.574999999999999</v>
      </c>
      <c r="K10" s="13">
        <v>1</v>
      </c>
      <c r="L10" s="16">
        <f t="shared" si="0"/>
        <v>19.574999999999999</v>
      </c>
      <c r="M10" s="16">
        <v>43.6</v>
      </c>
      <c r="N10" s="18">
        <f t="shared" si="1"/>
        <v>0.85347000000000006</v>
      </c>
      <c r="O10" s="16">
        <v>1.1499999999999999</v>
      </c>
      <c r="P10" s="18">
        <f t="shared" si="2"/>
        <v>22.511249999999997</v>
      </c>
      <c r="Q10" s="13" t="s">
        <v>616</v>
      </c>
    </row>
    <row r="11" spans="1:17" ht="24">
      <c r="A11" s="12">
        <v>10</v>
      </c>
      <c r="B11" s="2" t="s">
        <v>654</v>
      </c>
      <c r="C11" s="2" t="s">
        <v>607</v>
      </c>
      <c r="D11" s="1" t="s">
        <v>610</v>
      </c>
      <c r="E11" s="13" t="s">
        <v>828</v>
      </c>
      <c r="F11" s="2" t="s">
        <v>612</v>
      </c>
      <c r="G11" s="12" t="s">
        <v>824</v>
      </c>
      <c r="H11" s="14" t="s">
        <v>823</v>
      </c>
      <c r="I11" s="3">
        <v>2</v>
      </c>
      <c r="J11" s="16">
        <f>JG</f>
        <v>2</v>
      </c>
      <c r="K11" s="13">
        <v>1</v>
      </c>
      <c r="L11" s="16">
        <f t="shared" si="0"/>
        <v>2</v>
      </c>
      <c r="M11" s="16">
        <f>0.084*0.222*0.007*7850</f>
        <v>1.0247076000000002</v>
      </c>
      <c r="N11" s="18">
        <f t="shared" si="1"/>
        <v>2.0494152000000002E-3</v>
      </c>
      <c r="O11" s="16">
        <f>0.084*2*0.222</f>
        <v>3.7296000000000003E-2</v>
      </c>
      <c r="P11" s="18">
        <f t="shared" si="2"/>
        <v>7.4592000000000006E-2</v>
      </c>
    </row>
    <row r="12" spans="1:17" ht="24">
      <c r="A12" s="12">
        <v>11</v>
      </c>
      <c r="B12" s="2" t="s">
        <v>654</v>
      </c>
      <c r="C12" s="2" t="s">
        <v>607</v>
      </c>
      <c r="D12" s="1" t="s">
        <v>596</v>
      </c>
      <c r="E12" s="13" t="s">
        <v>841</v>
      </c>
      <c r="F12" s="2" t="s">
        <v>277</v>
      </c>
      <c r="G12" s="12" t="s">
        <v>824</v>
      </c>
      <c r="H12" s="14" t="s">
        <v>823</v>
      </c>
      <c r="I12" s="3">
        <v>1.4</v>
      </c>
      <c r="J12" s="16">
        <f>JG</f>
        <v>1.4</v>
      </c>
      <c r="K12" s="13">
        <v>2</v>
      </c>
      <c r="L12" s="16">
        <f t="shared" si="0"/>
        <v>2.8</v>
      </c>
      <c r="M12" s="16">
        <v>43.6</v>
      </c>
      <c r="N12" s="18">
        <f t="shared" si="1"/>
        <v>0.12207999999999999</v>
      </c>
      <c r="O12" s="16">
        <v>1.1499999999999999</v>
      </c>
      <c r="P12" s="18">
        <f t="shared" si="2"/>
        <v>3.2199999999999998</v>
      </c>
    </row>
    <row r="13" spans="1:17" ht="24">
      <c r="A13" s="12">
        <v>12</v>
      </c>
      <c r="B13" s="2" t="s">
        <v>654</v>
      </c>
      <c r="C13" s="2" t="s">
        <v>607</v>
      </c>
      <c r="D13" s="1" t="s">
        <v>596</v>
      </c>
      <c r="E13" s="13" t="s">
        <v>841</v>
      </c>
      <c r="F13" s="2" t="s">
        <v>29</v>
      </c>
      <c r="G13" s="12" t="s">
        <v>824</v>
      </c>
      <c r="H13" s="14" t="s">
        <v>823</v>
      </c>
      <c r="I13" s="3" t="s">
        <v>618</v>
      </c>
      <c r="J13" s="16">
        <f>JG</f>
        <v>1.1875</v>
      </c>
      <c r="K13" s="13">
        <v>1</v>
      </c>
      <c r="L13" s="16">
        <f t="shared" si="0"/>
        <v>1.1875</v>
      </c>
      <c r="M13" s="16">
        <v>20.9</v>
      </c>
      <c r="N13" s="18">
        <f t="shared" si="1"/>
        <v>2.4818749999999997E-2</v>
      </c>
      <c r="O13" s="16">
        <v>0.77500000000000002</v>
      </c>
      <c r="P13" s="18">
        <f t="shared" si="2"/>
        <v>0.92031249999999998</v>
      </c>
      <c r="Q13" s="13" t="s">
        <v>616</v>
      </c>
    </row>
    <row r="14" spans="1:17" ht="24">
      <c r="A14" s="12">
        <v>13</v>
      </c>
      <c r="B14" s="2" t="s">
        <v>654</v>
      </c>
      <c r="C14" s="2" t="s">
        <v>607</v>
      </c>
      <c r="D14" s="1" t="s">
        <v>610</v>
      </c>
      <c r="E14" s="13" t="s">
        <v>828</v>
      </c>
      <c r="F14" s="2" t="s">
        <v>322</v>
      </c>
      <c r="G14" s="12" t="s">
        <v>824</v>
      </c>
      <c r="H14" s="14" t="s">
        <v>823</v>
      </c>
      <c r="I14" s="3">
        <v>1</v>
      </c>
      <c r="J14" s="16">
        <f>JG</f>
        <v>1</v>
      </c>
      <c r="K14" s="13">
        <v>1</v>
      </c>
      <c r="L14" s="16">
        <f t="shared" si="0"/>
        <v>1</v>
      </c>
      <c r="M14" s="16">
        <f>0.084*0.222*0.0055*7850</f>
        <v>0.80512740000000005</v>
      </c>
      <c r="N14" s="18">
        <f t="shared" si="1"/>
        <v>8.0512740000000002E-4</v>
      </c>
      <c r="O14" s="16">
        <f>0.084*2*0.222</f>
        <v>3.7296000000000003E-2</v>
      </c>
      <c r="P14" s="18">
        <f t="shared" si="2"/>
        <v>3.7296000000000003E-2</v>
      </c>
    </row>
    <row r="15" spans="1:17" ht="24">
      <c r="A15" s="12">
        <v>14</v>
      </c>
      <c r="B15" s="2" t="s">
        <v>654</v>
      </c>
      <c r="C15" s="2" t="s">
        <v>607</v>
      </c>
      <c r="D15" s="1" t="s">
        <v>596</v>
      </c>
      <c r="E15" s="13" t="s">
        <v>841</v>
      </c>
      <c r="F15" s="2" t="s">
        <v>29</v>
      </c>
      <c r="G15" s="12" t="s">
        <v>824</v>
      </c>
      <c r="H15" s="14" t="s">
        <v>823</v>
      </c>
      <c r="I15" s="3" t="s">
        <v>620</v>
      </c>
      <c r="J15" s="16">
        <f>JG</f>
        <v>1.2999999999999998</v>
      </c>
      <c r="K15" s="13">
        <v>1</v>
      </c>
      <c r="L15" s="16">
        <f t="shared" si="0"/>
        <v>1.2999999999999998</v>
      </c>
      <c r="M15" s="16">
        <v>20.9</v>
      </c>
      <c r="N15" s="18">
        <f t="shared" si="1"/>
        <v>2.7169999999999996E-2</v>
      </c>
      <c r="O15" s="16">
        <v>0.77500000000000002</v>
      </c>
      <c r="P15" s="18">
        <f t="shared" si="2"/>
        <v>1.0074999999999998</v>
      </c>
    </row>
    <row r="16" spans="1:17" ht="24">
      <c r="A16" s="12">
        <v>15</v>
      </c>
      <c r="B16" s="2" t="s">
        <v>654</v>
      </c>
      <c r="C16" s="2" t="s">
        <v>607</v>
      </c>
      <c r="D16" s="1" t="s">
        <v>596</v>
      </c>
      <c r="E16" s="13" t="s">
        <v>840</v>
      </c>
      <c r="F16" s="2" t="s">
        <v>622</v>
      </c>
      <c r="G16" s="12" t="s">
        <v>824</v>
      </c>
      <c r="H16" s="14" t="s">
        <v>823</v>
      </c>
      <c r="I16" s="3" t="s">
        <v>624</v>
      </c>
      <c r="J16" s="16">
        <f>JG</f>
        <v>9.875</v>
      </c>
      <c r="K16" s="13">
        <v>1</v>
      </c>
      <c r="L16" s="16">
        <f t="shared" si="0"/>
        <v>9.875</v>
      </c>
      <c r="M16" s="16">
        <v>20.2</v>
      </c>
      <c r="N16" s="18">
        <f t="shared" si="1"/>
        <v>0.19947499999999999</v>
      </c>
      <c r="O16" s="16">
        <v>0.59599999999999997</v>
      </c>
      <c r="P16" s="18">
        <f t="shared" si="2"/>
        <v>5.8854999999999995</v>
      </c>
      <c r="Q16" s="13" t="s">
        <v>616</v>
      </c>
    </row>
    <row r="17" spans="1:17" ht="24">
      <c r="A17" s="12">
        <v>16</v>
      </c>
      <c r="B17" s="2" t="s">
        <v>654</v>
      </c>
      <c r="C17" s="2" t="s">
        <v>625</v>
      </c>
      <c r="D17" s="1" t="s">
        <v>587</v>
      </c>
      <c r="E17" s="13" t="s">
        <v>841</v>
      </c>
      <c r="F17" s="2" t="s">
        <v>424</v>
      </c>
      <c r="G17" s="12" t="s">
        <v>824</v>
      </c>
      <c r="H17" s="14" t="s">
        <v>823</v>
      </c>
      <c r="I17" s="3" t="s">
        <v>608</v>
      </c>
      <c r="J17" s="16">
        <f>JG</f>
        <v>1.3549999999999995</v>
      </c>
      <c r="K17" s="13">
        <v>2</v>
      </c>
      <c r="L17" s="16">
        <f t="shared" si="0"/>
        <v>2.7099999999999991</v>
      </c>
      <c r="M17" s="16">
        <v>16.899999999999999</v>
      </c>
      <c r="N17" s="18">
        <f t="shared" si="1"/>
        <v>4.5798999999999979E-2</v>
      </c>
      <c r="O17" s="16">
        <v>0.57399999999999995</v>
      </c>
      <c r="P17" s="18">
        <f t="shared" si="2"/>
        <v>1.5555399999999993</v>
      </c>
    </row>
    <row r="18" spans="1:17" ht="24">
      <c r="A18" s="12">
        <v>17</v>
      </c>
      <c r="B18" s="2" t="s">
        <v>654</v>
      </c>
      <c r="C18" s="2" t="s">
        <v>625</v>
      </c>
      <c r="D18" s="1" t="s">
        <v>595</v>
      </c>
      <c r="E18" s="13" t="s">
        <v>841</v>
      </c>
      <c r="F18" s="2" t="s">
        <v>439</v>
      </c>
      <c r="G18" s="12" t="s">
        <v>824</v>
      </c>
      <c r="H18" s="14" t="s">
        <v>823</v>
      </c>
      <c r="I18" s="3" t="s">
        <v>613</v>
      </c>
      <c r="J18" s="16">
        <f>JG</f>
        <v>19.574999999999999</v>
      </c>
      <c r="K18" s="13">
        <v>1</v>
      </c>
      <c r="L18" s="16">
        <f t="shared" si="0"/>
        <v>19.574999999999999</v>
      </c>
      <c r="M18" s="16">
        <v>43.6</v>
      </c>
      <c r="N18" s="18">
        <f t="shared" si="1"/>
        <v>0.85347000000000006</v>
      </c>
      <c r="O18" s="16">
        <v>1.1499999999999999</v>
      </c>
      <c r="P18" s="18">
        <f t="shared" si="2"/>
        <v>22.511249999999997</v>
      </c>
      <c r="Q18" s="13" t="s">
        <v>615</v>
      </c>
    </row>
    <row r="19" spans="1:17" ht="24">
      <c r="A19" s="12">
        <v>18</v>
      </c>
      <c r="B19" s="2" t="s">
        <v>654</v>
      </c>
      <c r="C19" s="2" t="s">
        <v>625</v>
      </c>
      <c r="D19" s="1" t="s">
        <v>400</v>
      </c>
      <c r="E19" s="13" t="s">
        <v>828</v>
      </c>
      <c r="F19" s="2" t="s">
        <v>611</v>
      </c>
      <c r="G19" s="12" t="s">
        <v>824</v>
      </c>
      <c r="H19" s="14" t="s">
        <v>823</v>
      </c>
      <c r="I19" s="3">
        <v>2</v>
      </c>
      <c r="J19" s="16">
        <f>JG</f>
        <v>2</v>
      </c>
      <c r="K19" s="13">
        <v>1</v>
      </c>
      <c r="L19" s="16">
        <f t="shared" si="0"/>
        <v>2</v>
      </c>
      <c r="M19" s="16">
        <f>0.084*0.222*0.007*7850</f>
        <v>1.0247076000000002</v>
      </c>
      <c r="N19" s="18">
        <f t="shared" si="1"/>
        <v>2.0494152000000002E-3</v>
      </c>
      <c r="O19" s="16">
        <f>0.084*2*0.222</f>
        <v>3.7296000000000003E-2</v>
      </c>
      <c r="P19" s="18">
        <f t="shared" si="2"/>
        <v>7.4592000000000006E-2</v>
      </c>
    </row>
    <row r="20" spans="1:17" ht="24">
      <c r="A20" s="12">
        <v>19</v>
      </c>
      <c r="B20" s="2" t="s">
        <v>654</v>
      </c>
      <c r="C20" s="2" t="s">
        <v>625</v>
      </c>
      <c r="D20" s="1" t="s">
        <v>595</v>
      </c>
      <c r="E20" s="13" t="s">
        <v>841</v>
      </c>
      <c r="F20" s="2" t="s">
        <v>439</v>
      </c>
      <c r="G20" s="12" t="s">
        <v>824</v>
      </c>
      <c r="H20" s="14" t="s">
        <v>823</v>
      </c>
      <c r="I20" s="3">
        <v>1.4</v>
      </c>
      <c r="J20" s="16">
        <f>JG</f>
        <v>1.4</v>
      </c>
      <c r="K20" s="13">
        <v>2</v>
      </c>
      <c r="L20" s="16">
        <f t="shared" si="0"/>
        <v>2.8</v>
      </c>
      <c r="M20" s="16">
        <v>43.6</v>
      </c>
      <c r="N20" s="18">
        <f t="shared" si="1"/>
        <v>0.12207999999999999</v>
      </c>
      <c r="O20" s="16">
        <v>1.1499999999999999</v>
      </c>
      <c r="P20" s="18">
        <f t="shared" si="2"/>
        <v>3.2199999999999998</v>
      </c>
    </row>
    <row r="21" spans="1:17" ht="24">
      <c r="A21" s="12">
        <v>20</v>
      </c>
      <c r="B21" s="2" t="s">
        <v>654</v>
      </c>
      <c r="C21" s="2" t="s">
        <v>625</v>
      </c>
      <c r="D21" s="1" t="s">
        <v>595</v>
      </c>
      <c r="E21" s="13" t="s">
        <v>841</v>
      </c>
      <c r="F21" s="2" t="s">
        <v>413</v>
      </c>
      <c r="G21" s="12" t="s">
        <v>824</v>
      </c>
      <c r="H21" s="14" t="s">
        <v>823</v>
      </c>
      <c r="I21" s="3" t="s">
        <v>617</v>
      </c>
      <c r="J21" s="16">
        <f>JG</f>
        <v>1.1875</v>
      </c>
      <c r="K21" s="13">
        <v>1</v>
      </c>
      <c r="L21" s="16">
        <f t="shared" si="0"/>
        <v>1.1875</v>
      </c>
      <c r="M21" s="16">
        <v>20.9</v>
      </c>
      <c r="N21" s="18">
        <f t="shared" si="1"/>
        <v>2.4818749999999997E-2</v>
      </c>
      <c r="O21" s="16">
        <v>0.77500000000000002</v>
      </c>
      <c r="P21" s="18">
        <f t="shared" si="2"/>
        <v>0.92031249999999998</v>
      </c>
      <c r="Q21" s="13" t="s">
        <v>615</v>
      </c>
    </row>
    <row r="22" spans="1:17" ht="24">
      <c r="A22" s="12">
        <v>21</v>
      </c>
      <c r="B22" s="2" t="s">
        <v>654</v>
      </c>
      <c r="C22" s="2" t="s">
        <v>625</v>
      </c>
      <c r="D22" s="1" t="s">
        <v>400</v>
      </c>
      <c r="E22" s="13" t="s">
        <v>828</v>
      </c>
      <c r="F22" s="2" t="s">
        <v>526</v>
      </c>
      <c r="G22" s="12" t="s">
        <v>824</v>
      </c>
      <c r="H22" s="14" t="s">
        <v>823</v>
      </c>
      <c r="I22" s="3">
        <v>1</v>
      </c>
      <c r="J22" s="16">
        <f>JG</f>
        <v>1</v>
      </c>
      <c r="K22" s="13">
        <v>1</v>
      </c>
      <c r="L22" s="16">
        <f t="shared" si="0"/>
        <v>1</v>
      </c>
      <c r="M22" s="16">
        <f>0.084*0.222*0.0055*7850</f>
        <v>0.80512740000000005</v>
      </c>
      <c r="N22" s="18">
        <f t="shared" si="1"/>
        <v>8.0512740000000002E-4</v>
      </c>
      <c r="O22" s="16">
        <f>0.084*2*0.222</f>
        <v>3.7296000000000003E-2</v>
      </c>
      <c r="P22" s="18">
        <f t="shared" si="2"/>
        <v>3.7296000000000003E-2</v>
      </c>
    </row>
    <row r="23" spans="1:17" ht="24">
      <c r="A23" s="12">
        <v>22</v>
      </c>
      <c r="B23" s="2" t="s">
        <v>654</v>
      </c>
      <c r="C23" s="2" t="s">
        <v>625</v>
      </c>
      <c r="D23" s="1" t="s">
        <v>595</v>
      </c>
      <c r="E23" s="13" t="s">
        <v>841</v>
      </c>
      <c r="F23" s="2" t="s">
        <v>413</v>
      </c>
      <c r="G23" s="12" t="s">
        <v>824</v>
      </c>
      <c r="H23" s="14" t="s">
        <v>823</v>
      </c>
      <c r="I23" s="3" t="s">
        <v>619</v>
      </c>
      <c r="J23" s="16">
        <f>JG</f>
        <v>1.2999999999999998</v>
      </c>
      <c r="K23" s="13">
        <v>1</v>
      </c>
      <c r="L23" s="16">
        <f t="shared" si="0"/>
        <v>1.2999999999999998</v>
      </c>
      <c r="M23" s="16">
        <v>20.9</v>
      </c>
      <c r="N23" s="18">
        <f t="shared" si="1"/>
        <v>2.7169999999999996E-2</v>
      </c>
      <c r="O23" s="16">
        <v>0.77500000000000002</v>
      </c>
      <c r="P23" s="18">
        <f t="shared" si="2"/>
        <v>1.0074999999999998</v>
      </c>
    </row>
    <row r="24" spans="1:17" ht="24">
      <c r="A24" s="12">
        <v>23</v>
      </c>
      <c r="B24" s="2" t="s">
        <v>654</v>
      </c>
      <c r="C24" s="2" t="s">
        <v>625</v>
      </c>
      <c r="D24" s="1" t="s">
        <v>595</v>
      </c>
      <c r="E24" s="13" t="s">
        <v>840</v>
      </c>
      <c r="F24" s="2" t="s">
        <v>621</v>
      </c>
      <c r="G24" s="12" t="s">
        <v>824</v>
      </c>
      <c r="H24" s="14" t="s">
        <v>823</v>
      </c>
      <c r="I24" s="3" t="s">
        <v>623</v>
      </c>
      <c r="J24" s="16">
        <f>JG</f>
        <v>9.875</v>
      </c>
      <c r="K24" s="13">
        <v>1</v>
      </c>
      <c r="L24" s="16">
        <f t="shared" si="0"/>
        <v>9.875</v>
      </c>
      <c r="M24" s="16">
        <v>20.2</v>
      </c>
      <c r="N24" s="18">
        <f t="shared" si="1"/>
        <v>0.19947499999999999</v>
      </c>
      <c r="O24" s="16">
        <v>0.59599999999999997</v>
      </c>
      <c r="P24" s="18">
        <f t="shared" si="2"/>
        <v>5.8854999999999995</v>
      </c>
      <c r="Q24" s="13" t="s">
        <v>615</v>
      </c>
    </row>
    <row r="25" spans="1:17" ht="24">
      <c r="A25" s="12">
        <v>24</v>
      </c>
      <c r="B25" s="2" t="s">
        <v>654</v>
      </c>
      <c r="C25" s="2" t="s">
        <v>625</v>
      </c>
      <c r="D25" s="1" t="s">
        <v>595</v>
      </c>
      <c r="E25" s="13" t="s">
        <v>842</v>
      </c>
      <c r="F25" s="2" t="s">
        <v>626</v>
      </c>
      <c r="G25" s="12" t="s">
        <v>824</v>
      </c>
      <c r="H25" s="14" t="s">
        <v>823</v>
      </c>
      <c r="I25" s="3">
        <v>0.7</v>
      </c>
      <c r="J25" s="16">
        <f>JG</f>
        <v>0.7</v>
      </c>
      <c r="K25" s="13">
        <v>1</v>
      </c>
      <c r="L25" s="16">
        <f t="shared" si="0"/>
        <v>0.7</v>
      </c>
      <c r="M25" s="16">
        <v>16.899999999999999</v>
      </c>
      <c r="N25" s="18">
        <f t="shared" si="1"/>
        <v>1.1829999999999999E-2</v>
      </c>
      <c r="O25" s="16">
        <v>0.55300000000000005</v>
      </c>
      <c r="P25" s="18">
        <f t="shared" si="2"/>
        <v>0.3871</v>
      </c>
    </row>
    <row r="26" spans="1:17" ht="24">
      <c r="A26" s="12">
        <v>25</v>
      </c>
      <c r="B26" s="2" t="s">
        <v>654</v>
      </c>
      <c r="C26" s="2" t="s">
        <v>625</v>
      </c>
      <c r="D26" s="1" t="s">
        <v>595</v>
      </c>
      <c r="E26" s="13" t="s">
        <v>842</v>
      </c>
      <c r="F26" s="2" t="s">
        <v>627</v>
      </c>
      <c r="G26" s="12" t="s">
        <v>824</v>
      </c>
      <c r="H26" s="14" t="s">
        <v>823</v>
      </c>
      <c r="I26" s="3">
        <v>5</v>
      </c>
      <c r="J26" s="16">
        <f>JG</f>
        <v>5</v>
      </c>
      <c r="K26" s="13">
        <v>3</v>
      </c>
      <c r="L26" s="16">
        <f t="shared" si="0"/>
        <v>15</v>
      </c>
      <c r="M26" s="16">
        <v>20.5</v>
      </c>
      <c r="N26" s="18">
        <f t="shared" si="1"/>
        <v>0.3075</v>
      </c>
      <c r="O26" s="16">
        <v>0.621</v>
      </c>
      <c r="P26" s="18">
        <f t="shared" si="2"/>
        <v>9.3149999999999995</v>
      </c>
    </row>
    <row r="27" spans="1:17" ht="24">
      <c r="A27" s="12">
        <v>26</v>
      </c>
      <c r="B27" s="2" t="s">
        <v>654</v>
      </c>
      <c r="C27" s="2" t="s">
        <v>628</v>
      </c>
      <c r="D27" s="1" t="s">
        <v>595</v>
      </c>
      <c r="E27" s="13" t="s">
        <v>841</v>
      </c>
      <c r="F27" s="2" t="s">
        <v>30</v>
      </c>
      <c r="G27" s="12" t="s">
        <v>824</v>
      </c>
      <c r="H27" s="14" t="s">
        <v>823</v>
      </c>
      <c r="I27" s="3" t="s">
        <v>629</v>
      </c>
      <c r="J27" s="16">
        <f>JG</f>
        <v>19.625</v>
      </c>
      <c r="K27" s="13">
        <v>1</v>
      </c>
      <c r="L27" s="16">
        <f t="shared" si="0"/>
        <v>19.625</v>
      </c>
      <c r="M27" s="16">
        <v>29</v>
      </c>
      <c r="N27" s="18">
        <f t="shared" si="1"/>
        <v>0.56912499999999999</v>
      </c>
      <c r="O27" s="16">
        <v>0.97399999999999998</v>
      </c>
      <c r="P27" s="18">
        <f t="shared" si="2"/>
        <v>19.114750000000001</v>
      </c>
    </row>
    <row r="28" spans="1:17" ht="24">
      <c r="A28" s="12">
        <v>27</v>
      </c>
      <c r="B28" s="2" t="s">
        <v>654</v>
      </c>
      <c r="C28" s="2" t="s">
        <v>628</v>
      </c>
      <c r="D28" s="1" t="s">
        <v>400</v>
      </c>
      <c r="E28" s="13" t="s">
        <v>828</v>
      </c>
      <c r="F28" s="2" t="s">
        <v>630</v>
      </c>
      <c r="G28" s="12" t="s">
        <v>824</v>
      </c>
      <c r="H28" s="14" t="s">
        <v>823</v>
      </c>
      <c r="I28" s="3" t="s">
        <v>631</v>
      </c>
      <c r="J28" s="16">
        <f>JG</f>
        <v>4</v>
      </c>
      <c r="K28" s="13">
        <v>1</v>
      </c>
      <c r="L28" s="16">
        <f t="shared" si="0"/>
        <v>4</v>
      </c>
      <c r="M28" s="16">
        <f>0.059*0.232*0.006*7850</f>
        <v>0.64470480000000008</v>
      </c>
      <c r="N28" s="18">
        <f t="shared" si="1"/>
        <v>2.5788192000000005E-3</v>
      </c>
      <c r="O28" s="16">
        <f>0.059*2*0.232</f>
        <v>2.7376000000000001E-2</v>
      </c>
      <c r="P28" s="18">
        <f t="shared" si="2"/>
        <v>0.109504</v>
      </c>
    </row>
    <row r="29" spans="1:17" ht="24">
      <c r="A29" s="12">
        <v>28</v>
      </c>
      <c r="B29" s="2" t="s">
        <v>654</v>
      </c>
      <c r="C29" s="2" t="s">
        <v>628</v>
      </c>
      <c r="D29" s="1" t="s">
        <v>595</v>
      </c>
      <c r="E29" s="13" t="s">
        <v>841</v>
      </c>
      <c r="F29" s="2" t="s">
        <v>30</v>
      </c>
      <c r="G29" s="12" t="s">
        <v>824</v>
      </c>
      <c r="H29" s="14" t="s">
        <v>823</v>
      </c>
      <c r="I29" s="3">
        <v>1</v>
      </c>
      <c r="J29" s="16">
        <f>JG</f>
        <v>1</v>
      </c>
      <c r="K29" s="13">
        <v>2</v>
      </c>
      <c r="L29" s="16">
        <f t="shared" si="0"/>
        <v>2</v>
      </c>
      <c r="M29" s="16">
        <v>29</v>
      </c>
      <c r="N29" s="18">
        <f t="shared" si="1"/>
        <v>5.8000000000000003E-2</v>
      </c>
      <c r="O29" s="16">
        <v>0.97399999999999998</v>
      </c>
      <c r="P29" s="18">
        <f t="shared" si="2"/>
        <v>1.948</v>
      </c>
    </row>
    <row r="30" spans="1:17" ht="24">
      <c r="A30" s="12">
        <v>29</v>
      </c>
      <c r="B30" s="2" t="s">
        <v>654</v>
      </c>
      <c r="C30" s="2" t="s">
        <v>628</v>
      </c>
      <c r="D30" s="1" t="s">
        <v>595</v>
      </c>
      <c r="E30" s="13" t="s">
        <v>842</v>
      </c>
      <c r="F30" s="2" t="s">
        <v>627</v>
      </c>
      <c r="G30" s="12" t="s">
        <v>824</v>
      </c>
      <c r="H30" s="14" t="s">
        <v>823</v>
      </c>
      <c r="I30" s="3">
        <v>1</v>
      </c>
      <c r="J30" s="16">
        <f>JG</f>
        <v>1</v>
      </c>
      <c r="K30" s="13">
        <v>1</v>
      </c>
      <c r="L30" s="16">
        <f t="shared" si="0"/>
        <v>1</v>
      </c>
      <c r="M30" s="16">
        <v>20.5</v>
      </c>
      <c r="N30" s="18">
        <f t="shared" si="1"/>
        <v>2.0500000000000001E-2</v>
      </c>
      <c r="O30" s="16">
        <v>0.621</v>
      </c>
      <c r="P30" s="18">
        <f t="shared" si="2"/>
        <v>0.621</v>
      </c>
    </row>
    <row r="31" spans="1:17" ht="24">
      <c r="A31" s="12">
        <v>30</v>
      </c>
      <c r="B31" s="2" t="s">
        <v>655</v>
      </c>
      <c r="C31" s="2" t="s">
        <v>632</v>
      </c>
      <c r="D31" s="1" t="s">
        <v>588</v>
      </c>
      <c r="E31" s="13" t="s">
        <v>841</v>
      </c>
      <c r="F31" s="2" t="s">
        <v>189</v>
      </c>
      <c r="G31" s="12" t="s">
        <v>824</v>
      </c>
      <c r="H31" s="14" t="s">
        <v>823</v>
      </c>
      <c r="I31" s="3" t="s">
        <v>633</v>
      </c>
      <c r="J31" s="16">
        <f>JG</f>
        <v>1.1299999999999994</v>
      </c>
      <c r="K31" s="13">
        <v>14</v>
      </c>
      <c r="L31" s="16">
        <f t="shared" si="0"/>
        <v>15.819999999999993</v>
      </c>
      <c r="M31" s="16">
        <v>31.1</v>
      </c>
      <c r="N31" s="18">
        <f t="shared" si="1"/>
        <v>0.49200199999999977</v>
      </c>
      <c r="O31" s="16">
        <v>0.872</v>
      </c>
      <c r="P31" s="18">
        <f t="shared" si="2"/>
        <v>13.795039999999995</v>
      </c>
    </row>
    <row r="32" spans="1:17" ht="24">
      <c r="A32" s="12">
        <v>31</v>
      </c>
      <c r="B32" s="2" t="s">
        <v>655</v>
      </c>
      <c r="C32" s="2" t="s">
        <v>632</v>
      </c>
      <c r="D32" s="1" t="s">
        <v>589</v>
      </c>
      <c r="E32" s="13" t="s">
        <v>828</v>
      </c>
      <c r="F32" s="2" t="s">
        <v>634</v>
      </c>
      <c r="G32" s="12" t="s">
        <v>824</v>
      </c>
      <c r="H32" s="14" t="s">
        <v>823</v>
      </c>
      <c r="I32" s="3">
        <v>1</v>
      </c>
      <c r="J32" s="16">
        <f>JG</f>
        <v>1</v>
      </c>
      <c r="K32" s="13">
        <v>14</v>
      </c>
      <c r="L32" s="16">
        <f t="shared" si="0"/>
        <v>14</v>
      </c>
      <c r="M32" s="16">
        <f>0.35*0.35*0.02*7850</f>
        <v>19.232499999999998</v>
      </c>
      <c r="N32" s="18">
        <f t="shared" si="1"/>
        <v>0.26925500000000002</v>
      </c>
      <c r="O32" s="16">
        <f>0.35*0.35</f>
        <v>0.12249999999999998</v>
      </c>
      <c r="P32" s="18">
        <f t="shared" si="2"/>
        <v>1.7149999999999999</v>
      </c>
    </row>
    <row r="33" spans="1:16" ht="24">
      <c r="A33" s="12">
        <v>32</v>
      </c>
      <c r="B33" s="2" t="s">
        <v>655</v>
      </c>
      <c r="C33" s="2" t="s">
        <v>632</v>
      </c>
      <c r="D33" s="1" t="s">
        <v>589</v>
      </c>
      <c r="E33" s="13" t="s">
        <v>828</v>
      </c>
      <c r="F33" s="2" t="s">
        <v>662</v>
      </c>
      <c r="G33" s="12" t="s">
        <v>824</v>
      </c>
      <c r="H33" s="14" t="s">
        <v>823</v>
      </c>
      <c r="I33" s="3">
        <v>8</v>
      </c>
      <c r="J33" s="16">
        <f>JG</f>
        <v>8</v>
      </c>
      <c r="K33" s="13">
        <v>14</v>
      </c>
      <c r="L33" s="16">
        <f t="shared" si="0"/>
        <v>112</v>
      </c>
      <c r="M33" s="16">
        <f>(0.2*0.1-0.15*0.5*0.07)*0.01*7850</f>
        <v>1.1578750000000002</v>
      </c>
      <c r="N33" s="18">
        <f t="shared" si="1"/>
        <v>0.12968200000000002</v>
      </c>
      <c r="O33" s="16">
        <f>0.2*2*0.1-0.15*0.07</f>
        <v>2.9500000000000005E-2</v>
      </c>
      <c r="P33" s="18">
        <f t="shared" si="2"/>
        <v>3.3040000000000007</v>
      </c>
    </row>
    <row r="34" spans="1:16" ht="24">
      <c r="A34" s="12">
        <v>33</v>
      </c>
      <c r="B34" s="2" t="s">
        <v>655</v>
      </c>
      <c r="C34" s="2" t="s">
        <v>632</v>
      </c>
      <c r="D34" s="1" t="s">
        <v>588</v>
      </c>
      <c r="E34" s="13" t="s">
        <v>841</v>
      </c>
      <c r="F34" s="2" t="s">
        <v>636</v>
      </c>
      <c r="G34" s="12" t="s">
        <v>824</v>
      </c>
      <c r="H34" s="14" t="s">
        <v>823</v>
      </c>
      <c r="I34" s="3" t="s">
        <v>637</v>
      </c>
      <c r="J34" s="16">
        <f>JG</f>
        <v>4.9999999999999822E-2</v>
      </c>
      <c r="K34" s="13">
        <v>4</v>
      </c>
      <c r="L34" s="16">
        <f t="shared" si="0"/>
        <v>0.19999999999999929</v>
      </c>
      <c r="M34" s="16">
        <v>16.899999999999999</v>
      </c>
      <c r="N34" s="18">
        <f t="shared" si="1"/>
        <v>3.379999999999988E-3</v>
      </c>
      <c r="O34" s="16">
        <v>0.57399999999999995</v>
      </c>
      <c r="P34" s="18">
        <f t="shared" si="2"/>
        <v>0.11479999999999958</v>
      </c>
    </row>
    <row r="35" spans="1:16" ht="24">
      <c r="A35" s="12">
        <v>34</v>
      </c>
      <c r="B35" s="2" t="s">
        <v>655</v>
      </c>
      <c r="C35" s="2" t="s">
        <v>632</v>
      </c>
      <c r="D35" s="1" t="s">
        <v>595</v>
      </c>
      <c r="E35" s="13" t="s">
        <v>841</v>
      </c>
      <c r="F35" s="2" t="s">
        <v>30</v>
      </c>
      <c r="G35" s="12" t="s">
        <v>824</v>
      </c>
      <c r="H35" s="14" t="s">
        <v>823</v>
      </c>
      <c r="I35" s="3">
        <v>0.8</v>
      </c>
      <c r="J35" s="16">
        <f>JG</f>
        <v>0.8</v>
      </c>
      <c r="K35" s="13">
        <v>14</v>
      </c>
      <c r="L35" s="16">
        <f t="shared" si="0"/>
        <v>11.200000000000001</v>
      </c>
      <c r="M35" s="16">
        <v>29</v>
      </c>
      <c r="N35" s="18">
        <f t="shared" si="1"/>
        <v>0.32480000000000003</v>
      </c>
      <c r="O35" s="16">
        <v>0.97399999999999998</v>
      </c>
      <c r="P35" s="18">
        <f t="shared" si="2"/>
        <v>10.908800000000001</v>
      </c>
    </row>
    <row r="36" spans="1:16" ht="24">
      <c r="A36" s="12">
        <v>35</v>
      </c>
      <c r="B36" s="2" t="s">
        <v>655</v>
      </c>
      <c r="C36" s="2" t="s">
        <v>632</v>
      </c>
      <c r="D36" s="1" t="s">
        <v>494</v>
      </c>
      <c r="E36" s="13" t="s">
        <v>828</v>
      </c>
      <c r="F36" s="2" t="s">
        <v>638</v>
      </c>
      <c r="G36" s="12" t="s">
        <v>824</v>
      </c>
      <c r="H36" s="14" t="s">
        <v>823</v>
      </c>
      <c r="I36" s="3">
        <v>4</v>
      </c>
      <c r="J36" s="16">
        <f>JG</f>
        <v>4</v>
      </c>
      <c r="K36" s="13">
        <v>14</v>
      </c>
      <c r="L36" s="16">
        <f t="shared" si="0"/>
        <v>56</v>
      </c>
      <c r="M36" s="16">
        <f>0.059*0.232*0.006*7850</f>
        <v>0.64470480000000008</v>
      </c>
      <c r="N36" s="18">
        <f t="shared" si="1"/>
        <v>3.6103468800000003E-2</v>
      </c>
      <c r="O36" s="16">
        <f>0.059*2*0.232</f>
        <v>2.7376000000000001E-2</v>
      </c>
      <c r="P36" s="18">
        <f t="shared" si="2"/>
        <v>1.533056</v>
      </c>
    </row>
    <row r="37" spans="1:16" ht="48">
      <c r="A37" s="12">
        <v>36</v>
      </c>
      <c r="B37" s="2" t="s">
        <v>655</v>
      </c>
      <c r="C37" s="2" t="s">
        <v>632</v>
      </c>
      <c r="D37" s="1" t="s">
        <v>595</v>
      </c>
      <c r="E37" s="13" t="s">
        <v>841</v>
      </c>
      <c r="F37" s="2" t="s">
        <v>30</v>
      </c>
      <c r="G37" s="12" t="s">
        <v>824</v>
      </c>
      <c r="H37" s="14" t="s">
        <v>823</v>
      </c>
      <c r="I37" s="3" t="s">
        <v>639</v>
      </c>
      <c r="J37" s="16">
        <f>JG</f>
        <v>26.2</v>
      </c>
      <c r="K37" s="13">
        <v>1</v>
      </c>
      <c r="L37" s="16">
        <f t="shared" si="0"/>
        <v>26.2</v>
      </c>
      <c r="M37" s="16">
        <v>29</v>
      </c>
      <c r="N37" s="18">
        <f t="shared" si="1"/>
        <v>0.75979999999999992</v>
      </c>
      <c r="O37" s="16">
        <v>0.97399999999999998</v>
      </c>
      <c r="P37" s="18">
        <f t="shared" si="2"/>
        <v>25.518799999999999</v>
      </c>
    </row>
    <row r="38" spans="1:16" ht="24">
      <c r="A38" s="12">
        <v>37</v>
      </c>
      <c r="B38" s="2" t="s">
        <v>655</v>
      </c>
      <c r="C38" s="2" t="s">
        <v>632</v>
      </c>
      <c r="D38" s="1" t="s">
        <v>39</v>
      </c>
      <c r="E38" s="13" t="s">
        <v>828</v>
      </c>
      <c r="F38" s="2" t="s">
        <v>638</v>
      </c>
      <c r="G38" s="12" t="s">
        <v>824</v>
      </c>
      <c r="H38" s="14" t="s">
        <v>823</v>
      </c>
      <c r="I38" s="3" t="s">
        <v>640</v>
      </c>
      <c r="J38" s="16">
        <f>JG</f>
        <v>8</v>
      </c>
      <c r="K38" s="13">
        <v>1</v>
      </c>
      <c r="L38" s="16">
        <f t="shared" si="0"/>
        <v>8</v>
      </c>
      <c r="M38" s="16">
        <f>0.059*0.232*0.006*7850</f>
        <v>0.64470480000000008</v>
      </c>
      <c r="N38" s="18">
        <f t="shared" si="1"/>
        <v>5.157638400000001E-3</v>
      </c>
      <c r="O38" s="16">
        <f>0.059*2*0.232</f>
        <v>2.7376000000000001E-2</v>
      </c>
      <c r="P38" s="18">
        <f t="shared" si="2"/>
        <v>0.21900800000000001</v>
      </c>
    </row>
    <row r="39" spans="1:16" ht="24">
      <c r="A39" s="12">
        <v>38</v>
      </c>
      <c r="B39" s="2" t="s">
        <v>655</v>
      </c>
      <c r="C39" s="2" t="s">
        <v>632</v>
      </c>
      <c r="D39" s="1" t="s">
        <v>596</v>
      </c>
      <c r="E39" s="13" t="s">
        <v>840</v>
      </c>
      <c r="F39" s="2" t="s">
        <v>641</v>
      </c>
      <c r="G39" s="12" t="s">
        <v>824</v>
      </c>
      <c r="H39" s="14" t="s">
        <v>823</v>
      </c>
      <c r="I39" s="3" t="s">
        <v>642</v>
      </c>
      <c r="J39" s="16">
        <f>JG</f>
        <v>147.19999999999999</v>
      </c>
      <c r="K39" s="13">
        <v>1</v>
      </c>
      <c r="L39" s="16">
        <f t="shared" si="0"/>
        <v>147.19999999999999</v>
      </c>
      <c r="M39" s="16">
        <v>20.2</v>
      </c>
      <c r="N39" s="18">
        <f t="shared" si="1"/>
        <v>2.9734399999999996</v>
      </c>
      <c r="O39" s="16">
        <v>0.59599999999999997</v>
      </c>
      <c r="P39" s="18">
        <f t="shared" si="2"/>
        <v>87.731199999999987</v>
      </c>
    </row>
    <row r="40" spans="1:16" ht="24">
      <c r="A40" s="12">
        <v>39</v>
      </c>
      <c r="B40" s="2" t="s">
        <v>594</v>
      </c>
      <c r="C40" s="2" t="s">
        <v>651</v>
      </c>
      <c r="D40" s="1" t="s">
        <v>588</v>
      </c>
      <c r="E40" s="13" t="s">
        <v>842</v>
      </c>
      <c r="F40" s="2" t="s">
        <v>648</v>
      </c>
      <c r="G40" s="12" t="s">
        <v>824</v>
      </c>
      <c r="H40" s="14" t="s">
        <v>823</v>
      </c>
      <c r="I40" s="3">
        <v>1.4</v>
      </c>
      <c r="J40" s="16">
        <f>JG</f>
        <v>1.4</v>
      </c>
      <c r="K40" s="13">
        <f>15+23</f>
        <v>38</v>
      </c>
      <c r="L40" s="16">
        <f t="shared" si="0"/>
        <v>53.199999999999996</v>
      </c>
      <c r="M40" s="16">
        <v>16.899999999999999</v>
      </c>
      <c r="N40" s="18">
        <f t="shared" si="1"/>
        <v>0.89907999999999988</v>
      </c>
      <c r="O40" s="16">
        <v>0.55300000000000005</v>
      </c>
      <c r="P40" s="18">
        <f t="shared" si="2"/>
        <v>29.419599999999999</v>
      </c>
    </row>
    <row r="41" spans="1:16" ht="48">
      <c r="A41" s="12">
        <v>40</v>
      </c>
      <c r="B41" s="2" t="s">
        <v>594</v>
      </c>
      <c r="C41" s="2" t="s">
        <v>651</v>
      </c>
      <c r="D41" s="1" t="s">
        <v>596</v>
      </c>
      <c r="E41" s="13" t="s">
        <v>841</v>
      </c>
      <c r="F41" s="2" t="s">
        <v>29</v>
      </c>
      <c r="G41" s="12" t="s">
        <v>824</v>
      </c>
      <c r="H41" s="14" t="s">
        <v>823</v>
      </c>
      <c r="I41" s="3" t="s">
        <v>643</v>
      </c>
      <c r="J41" s="16">
        <f>JG</f>
        <v>93.8</v>
      </c>
      <c r="K41" s="13">
        <v>1</v>
      </c>
      <c r="L41" s="16">
        <f t="shared" si="0"/>
        <v>93.8</v>
      </c>
      <c r="M41" s="16">
        <v>20.9</v>
      </c>
      <c r="N41" s="18">
        <f t="shared" si="1"/>
        <v>1.9604199999999998</v>
      </c>
      <c r="O41" s="16">
        <v>0.77500000000000002</v>
      </c>
      <c r="P41" s="18">
        <f t="shared" si="2"/>
        <v>72.694999999999993</v>
      </c>
    </row>
    <row r="42" spans="1:16" ht="24">
      <c r="A42" s="12">
        <v>41</v>
      </c>
      <c r="B42" s="2" t="s">
        <v>594</v>
      </c>
      <c r="C42" s="2" t="s">
        <v>606</v>
      </c>
      <c r="D42" s="1" t="s">
        <v>596</v>
      </c>
      <c r="E42" s="13" t="s">
        <v>842</v>
      </c>
      <c r="F42" s="2" t="s">
        <v>597</v>
      </c>
      <c r="G42" s="12" t="s">
        <v>824</v>
      </c>
      <c r="H42" s="14" t="s">
        <v>823</v>
      </c>
      <c r="I42" s="3" t="s">
        <v>644</v>
      </c>
      <c r="J42" s="16">
        <f>JG</f>
        <v>53.04999999999999</v>
      </c>
      <c r="K42" s="13">
        <v>1</v>
      </c>
      <c r="L42" s="16">
        <f t="shared" si="0"/>
        <v>53.04999999999999</v>
      </c>
      <c r="M42" s="16">
        <v>27.9</v>
      </c>
      <c r="N42" s="18">
        <f t="shared" si="1"/>
        <v>1.4800949999999995</v>
      </c>
      <c r="O42" s="16">
        <v>0.74199999999999999</v>
      </c>
      <c r="P42" s="18">
        <f t="shared" si="2"/>
        <v>39.363099999999996</v>
      </c>
    </row>
    <row r="43" spans="1:16" ht="48">
      <c r="A43" s="12">
        <v>42</v>
      </c>
      <c r="B43" s="2" t="s">
        <v>594</v>
      </c>
      <c r="C43" s="2" t="s">
        <v>606</v>
      </c>
      <c r="D43" s="1" t="s">
        <v>596</v>
      </c>
      <c r="E43" s="13" t="s">
        <v>842</v>
      </c>
      <c r="F43" s="2" t="s">
        <v>645</v>
      </c>
      <c r="G43" s="12" t="s">
        <v>824</v>
      </c>
      <c r="H43" s="14" t="s">
        <v>823</v>
      </c>
      <c r="I43" s="3" t="s">
        <v>646</v>
      </c>
      <c r="J43" s="16">
        <f>JG</f>
        <v>135.19999999999999</v>
      </c>
      <c r="K43" s="13">
        <v>1</v>
      </c>
      <c r="L43" s="16">
        <f t="shared" si="0"/>
        <v>135.19999999999999</v>
      </c>
      <c r="M43" s="16">
        <v>24.1</v>
      </c>
      <c r="N43" s="18">
        <f t="shared" si="1"/>
        <v>3.2583199999999999</v>
      </c>
      <c r="O43" s="16">
        <v>0.68100000000000005</v>
      </c>
      <c r="P43" s="18">
        <f t="shared" si="2"/>
        <v>92.071200000000005</v>
      </c>
    </row>
    <row r="44" spans="1:16" ht="24">
      <c r="A44" s="12">
        <v>43</v>
      </c>
      <c r="B44" s="2" t="s">
        <v>594</v>
      </c>
      <c r="C44" s="2" t="s">
        <v>606</v>
      </c>
      <c r="D44" s="1" t="s">
        <v>596</v>
      </c>
      <c r="E44" s="13" t="s">
        <v>842</v>
      </c>
      <c r="F44" s="2" t="s">
        <v>627</v>
      </c>
      <c r="G44" s="12" t="s">
        <v>824</v>
      </c>
      <c r="H44" s="14" t="s">
        <v>823</v>
      </c>
      <c r="I44" s="3" t="s">
        <v>647</v>
      </c>
      <c r="J44" s="16">
        <f>JG</f>
        <v>31.799999999999997</v>
      </c>
      <c r="K44" s="13">
        <v>1</v>
      </c>
      <c r="L44" s="16">
        <f t="shared" si="0"/>
        <v>31.799999999999997</v>
      </c>
      <c r="M44" s="16">
        <v>20.5</v>
      </c>
      <c r="N44" s="18">
        <f t="shared" si="1"/>
        <v>0.65190000000000003</v>
      </c>
      <c r="O44" s="16">
        <v>0.621</v>
      </c>
      <c r="P44" s="18">
        <f t="shared" si="2"/>
        <v>19.747799999999998</v>
      </c>
    </row>
    <row r="45" spans="1:16" ht="24">
      <c r="A45" s="12">
        <v>44</v>
      </c>
      <c r="B45" s="2" t="s">
        <v>594</v>
      </c>
      <c r="C45" s="2" t="s">
        <v>606</v>
      </c>
      <c r="D45" s="1" t="s">
        <v>596</v>
      </c>
      <c r="E45" s="13" t="s">
        <v>842</v>
      </c>
      <c r="F45" s="2" t="s">
        <v>648</v>
      </c>
      <c r="G45" s="12" t="s">
        <v>824</v>
      </c>
      <c r="H45" s="14" t="s">
        <v>823</v>
      </c>
      <c r="I45" s="3" t="s">
        <v>649</v>
      </c>
      <c r="J45" s="16">
        <f>JG</f>
        <v>61.349999999999994</v>
      </c>
      <c r="K45" s="13">
        <v>1</v>
      </c>
      <c r="L45" s="16">
        <f t="shared" si="0"/>
        <v>61.349999999999994</v>
      </c>
      <c r="M45" s="16">
        <v>16.899999999999999</v>
      </c>
      <c r="N45" s="18">
        <f t="shared" si="1"/>
        <v>1.0368149999999998</v>
      </c>
      <c r="O45" s="16">
        <v>0.55300000000000005</v>
      </c>
      <c r="P45" s="18">
        <f t="shared" si="2"/>
        <v>33.926549999999999</v>
      </c>
    </row>
    <row r="46" spans="1:16" ht="24">
      <c r="A46" s="12">
        <v>45</v>
      </c>
      <c r="B46" s="2" t="s">
        <v>594</v>
      </c>
      <c r="C46" s="2" t="s">
        <v>606</v>
      </c>
      <c r="D46" s="1" t="s">
        <v>596</v>
      </c>
      <c r="E46" s="13" t="s">
        <v>842</v>
      </c>
      <c r="F46" s="2" t="s">
        <v>648</v>
      </c>
      <c r="G46" s="12" t="s">
        <v>824</v>
      </c>
      <c r="H46" s="14" t="s">
        <v>823</v>
      </c>
      <c r="I46" s="3" t="s">
        <v>650</v>
      </c>
      <c r="J46" s="16">
        <f>JG</f>
        <v>24.75</v>
      </c>
      <c r="K46" s="13">
        <v>1</v>
      </c>
      <c r="L46" s="16">
        <f t="shared" si="0"/>
        <v>24.75</v>
      </c>
      <c r="M46" s="16">
        <v>16.899999999999999</v>
      </c>
      <c r="N46" s="18">
        <f t="shared" si="1"/>
        <v>0.41827500000000001</v>
      </c>
      <c r="O46" s="16">
        <v>0.55300000000000005</v>
      </c>
      <c r="P46" s="18">
        <f t="shared" si="2"/>
        <v>13.686750000000002</v>
      </c>
    </row>
    <row r="47" spans="1:16" ht="24">
      <c r="A47" s="12">
        <v>46</v>
      </c>
      <c r="B47" s="2" t="s">
        <v>656</v>
      </c>
      <c r="C47" s="2" t="s">
        <v>606</v>
      </c>
      <c r="D47" s="1" t="s">
        <v>596</v>
      </c>
      <c r="E47" s="13" t="s">
        <v>842</v>
      </c>
      <c r="F47" s="2" t="s">
        <v>652</v>
      </c>
      <c r="G47" s="12" t="s">
        <v>824</v>
      </c>
      <c r="H47" s="14" t="s">
        <v>823</v>
      </c>
      <c r="I47" s="3" t="s">
        <v>653</v>
      </c>
      <c r="J47" s="16">
        <f>JG</f>
        <v>0.67999999999999994</v>
      </c>
      <c r="K47" s="13">
        <f>15+23</f>
        <v>38</v>
      </c>
      <c r="L47" s="16">
        <f t="shared" si="0"/>
        <v>25.839999999999996</v>
      </c>
      <c r="M47" s="16">
        <v>11.3</v>
      </c>
      <c r="N47" s="18">
        <f t="shared" si="1"/>
        <v>0.29199199999999997</v>
      </c>
      <c r="O47" s="16">
        <v>0.432</v>
      </c>
      <c r="P47" s="18">
        <f t="shared" si="2"/>
        <v>11.162879999999998</v>
      </c>
    </row>
    <row r="48" spans="1:16">
      <c r="A48" s="13" t="s">
        <v>60</v>
      </c>
      <c r="J48" s="16"/>
      <c r="L48" s="16"/>
      <c r="M48" s="16"/>
      <c r="N48" s="18">
        <f>SUBTOTAL(109,N2:N47)</f>
        <v>55.19838888597635</v>
      </c>
      <c r="O48" s="16"/>
      <c r="P48" s="18">
        <f>SUBTOTAL(109,P2:P47)</f>
        <v>1263.9969859535756</v>
      </c>
    </row>
  </sheetData>
  <autoFilter ref="A1:Q47">
    <sortState ref="A6:R604">
      <sortCondition ref="A6:A604"/>
    </sortState>
  </autoFilter>
  <sortState ref="A2:Q48">
    <sortCondition ref="A2:A48"/>
  </sortState>
  <phoneticPr fontId="2" type="noConversion"/>
  <conditionalFormatting sqref="A1:Q1048576">
    <cfRule type="expression" dxfId="5" priority="1">
      <formula>($A1="序号")+($A1="汇总")</formula>
    </cfRule>
    <cfRule type="expression" dxfId="4" priority="2">
      <formula>($A1&amp;$B1&amp;$C1&amp;$D1&amp;$E1&amp;$F1&amp;$G1&amp;$H1&amp;$I1&amp;$J1&amp;$K1&amp;$L1&amp;$M1&amp;$N1&amp;$O1&amp;$P1&amp;$Q1&lt;&gt;"")</formula>
    </cfRule>
  </conditionalFormatting>
  <printOptions horizontalCentered="1"/>
  <pageMargins left="0.51181102362204722" right="0.51181102362204722" top="0.59055118110236227" bottom="0.39370078740157483" header="0.31496062992125984" footer="0.31496062992125984"/>
  <pageSetup paperSize="9" scale="83" fitToHeight="0" orientation="landscape" r:id="rId1"/>
  <headerFooter alignWithMargins="0">
    <oddFooter>&amp;C第 &amp;P 页，共 &amp;N 页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Q47"/>
  <sheetViews>
    <sheetView workbookViewId="0">
      <pane ySplit="1" topLeftCell="A14" activePane="bottomLeft" state="frozen"/>
      <selection activeCell="A36" sqref="A36"/>
      <selection pane="bottomLeft" activeCell="P42" sqref="P42"/>
    </sheetView>
  </sheetViews>
  <sheetFormatPr defaultColWidth="9" defaultRowHeight="12"/>
  <cols>
    <col min="1" max="1" width="4.375" style="13" customWidth="1"/>
    <col min="2" max="2" width="9" style="2" customWidth="1"/>
    <col min="3" max="3" width="13.625" style="2" customWidth="1"/>
    <col min="4" max="4" width="10.5" style="1" customWidth="1"/>
    <col min="5" max="5" width="12.5" style="13" customWidth="1"/>
    <col min="6" max="6" width="15.625" style="2" customWidth="1"/>
    <col min="7" max="7" width="7.5" style="13" customWidth="1"/>
    <col min="8" max="8" width="6.125" style="13" customWidth="1"/>
    <col min="9" max="9" width="18.5" style="3" customWidth="1"/>
    <col min="10" max="10" width="9.625" style="17" customWidth="1"/>
    <col min="11" max="11" width="7.5" style="13" customWidth="1"/>
    <col min="12" max="12" width="9" style="17"/>
    <col min="13" max="13" width="9.375" style="17" customWidth="1"/>
    <col min="14" max="14" width="8.625" style="19" customWidth="1"/>
    <col min="15" max="15" width="8.625" style="17" customWidth="1"/>
    <col min="16" max="16" width="9.5" style="19" bestFit="1" customWidth="1"/>
    <col min="17" max="17" width="9.125" style="13" customWidth="1"/>
    <col min="18" max="16384" width="9" style="13"/>
  </cols>
  <sheetData>
    <row r="1" spans="1:17" s="1" customFormat="1" ht="24">
      <c r="A1" s="4" t="s">
        <v>0</v>
      </c>
      <c r="B1" s="5" t="s">
        <v>1</v>
      </c>
      <c r="C1" s="5" t="s">
        <v>2</v>
      </c>
      <c r="D1" s="4" t="s">
        <v>3</v>
      </c>
      <c r="E1" s="4" t="s">
        <v>4</v>
      </c>
      <c r="F1" s="5" t="s">
        <v>5</v>
      </c>
      <c r="G1" s="4" t="s">
        <v>6</v>
      </c>
      <c r="H1" s="4" t="s">
        <v>7</v>
      </c>
      <c r="I1" s="5" t="s">
        <v>8</v>
      </c>
      <c r="J1" s="9" t="s">
        <v>9</v>
      </c>
      <c r="K1" s="4" t="s">
        <v>10</v>
      </c>
      <c r="L1" s="9" t="s">
        <v>11</v>
      </c>
      <c r="M1" s="9" t="s">
        <v>12</v>
      </c>
      <c r="N1" s="10" t="s">
        <v>13</v>
      </c>
      <c r="O1" s="9" t="s">
        <v>14</v>
      </c>
      <c r="P1" s="10" t="s">
        <v>15</v>
      </c>
      <c r="Q1" s="4" t="s">
        <v>16</v>
      </c>
    </row>
    <row r="2" spans="1:17" s="15" customFormat="1">
      <c r="A2" s="12">
        <v>1</v>
      </c>
      <c r="B2" s="7" t="s">
        <v>706</v>
      </c>
      <c r="C2" s="5" t="s">
        <v>657</v>
      </c>
      <c r="D2" s="6" t="s">
        <v>658</v>
      </c>
      <c r="E2" s="13" t="s">
        <v>844</v>
      </c>
      <c r="F2" s="7" t="s">
        <v>213</v>
      </c>
      <c r="G2" s="12" t="s">
        <v>824</v>
      </c>
      <c r="H2" s="14" t="s">
        <v>823</v>
      </c>
      <c r="I2" s="8" t="s">
        <v>659</v>
      </c>
      <c r="J2" s="16">
        <f>JG</f>
        <v>10.864000000000003</v>
      </c>
      <c r="K2" s="14">
        <f t="shared" ref="K2:K10" si="0">2*11</f>
        <v>22</v>
      </c>
      <c r="L2" s="16">
        <f t="shared" ref="L2:L41" si="1">J2*K2</f>
        <v>239.00800000000007</v>
      </c>
      <c r="M2" s="16">
        <v>93</v>
      </c>
      <c r="N2" s="18">
        <f t="shared" ref="N2:N41" si="2">L2*M2*0.001</f>
        <v>22.227744000000005</v>
      </c>
      <c r="O2" s="16">
        <v>1.76</v>
      </c>
      <c r="P2" s="18">
        <f t="shared" ref="P2:P41" si="3">O2*L2</f>
        <v>420.65408000000014</v>
      </c>
      <c r="Q2" s="12"/>
    </row>
    <row r="3" spans="1:17">
      <c r="A3" s="12">
        <v>2</v>
      </c>
      <c r="B3" s="7" t="s">
        <v>706</v>
      </c>
      <c r="C3" s="5" t="s">
        <v>657</v>
      </c>
      <c r="D3" s="1" t="s">
        <v>589</v>
      </c>
      <c r="E3" s="13" t="s">
        <v>845</v>
      </c>
      <c r="F3" s="7" t="s">
        <v>660</v>
      </c>
      <c r="G3" s="12" t="s">
        <v>824</v>
      </c>
      <c r="H3" s="14" t="s">
        <v>823</v>
      </c>
      <c r="I3" s="3">
        <v>1</v>
      </c>
      <c r="J3" s="16">
        <f>JG</f>
        <v>1</v>
      </c>
      <c r="K3" s="14">
        <f t="shared" si="0"/>
        <v>22</v>
      </c>
      <c r="L3" s="16">
        <f t="shared" si="1"/>
        <v>22</v>
      </c>
      <c r="M3" s="16">
        <f>0.58*0.58*0.036*7850</f>
        <v>95.066639999999992</v>
      </c>
      <c r="N3" s="18">
        <f t="shared" si="2"/>
        <v>2.0914660799999996</v>
      </c>
      <c r="O3" s="16">
        <f>0.58*0.58</f>
        <v>0.33639999999999998</v>
      </c>
      <c r="P3" s="18">
        <f t="shared" si="3"/>
        <v>7.4007999999999994</v>
      </c>
    </row>
    <row r="4" spans="1:17" ht="24">
      <c r="A4" s="12">
        <v>3</v>
      </c>
      <c r="B4" s="7" t="s">
        <v>706</v>
      </c>
      <c r="C4" s="5" t="s">
        <v>657</v>
      </c>
      <c r="D4" s="1" t="s">
        <v>589</v>
      </c>
      <c r="E4" s="13" t="s">
        <v>845</v>
      </c>
      <c r="F4" s="2" t="s">
        <v>663</v>
      </c>
      <c r="G4" s="12" t="s">
        <v>824</v>
      </c>
      <c r="H4" s="14" t="s">
        <v>823</v>
      </c>
      <c r="I4" s="3">
        <v>8</v>
      </c>
      <c r="J4" s="16">
        <f>JG</f>
        <v>8</v>
      </c>
      <c r="K4" s="14">
        <f t="shared" si="0"/>
        <v>22</v>
      </c>
      <c r="L4" s="16">
        <f t="shared" si="1"/>
        <v>176</v>
      </c>
      <c r="M4" s="16">
        <f>(0.3*0.14-0.25*0.5*0.11)*0.012*7850</f>
        <v>2.6611500000000006</v>
      </c>
      <c r="N4" s="18">
        <f t="shared" si="2"/>
        <v>0.46836240000000012</v>
      </c>
      <c r="O4" s="16">
        <f>0.3*2*0.14-0.25*0.11</f>
        <v>5.6500000000000009E-2</v>
      </c>
      <c r="P4" s="18">
        <f t="shared" si="3"/>
        <v>9.9440000000000008</v>
      </c>
    </row>
    <row r="5" spans="1:17">
      <c r="A5" s="12">
        <v>4</v>
      </c>
      <c r="B5" s="2" t="s">
        <v>707</v>
      </c>
      <c r="C5" s="5" t="s">
        <v>657</v>
      </c>
      <c r="D5" s="1" t="s">
        <v>202</v>
      </c>
      <c r="E5" s="13" t="s">
        <v>845</v>
      </c>
      <c r="F5" s="2" t="s">
        <v>664</v>
      </c>
      <c r="G5" s="12" t="s">
        <v>824</v>
      </c>
      <c r="H5" s="14" t="s">
        <v>823</v>
      </c>
      <c r="I5" s="3">
        <v>10</v>
      </c>
      <c r="J5" s="16">
        <f>JG</f>
        <v>10</v>
      </c>
      <c r="K5" s="14">
        <f t="shared" si="0"/>
        <v>22</v>
      </c>
      <c r="L5" s="16">
        <f t="shared" si="1"/>
        <v>220</v>
      </c>
      <c r="M5" s="16">
        <f>0.268*0.144*0.01*7850</f>
        <v>3.0294720000000002</v>
      </c>
      <c r="N5" s="18">
        <f t="shared" si="2"/>
        <v>0.66648384000000005</v>
      </c>
      <c r="O5" s="16">
        <f>0.268*2*0.144</f>
        <v>7.7184000000000003E-2</v>
      </c>
      <c r="P5" s="18">
        <f t="shared" si="3"/>
        <v>16.98048</v>
      </c>
    </row>
    <row r="6" spans="1:17">
      <c r="A6" s="12">
        <v>5</v>
      </c>
      <c r="B6" s="2" t="s">
        <v>708</v>
      </c>
      <c r="C6" s="5" t="s">
        <v>657</v>
      </c>
      <c r="D6" s="1" t="s">
        <v>665</v>
      </c>
      <c r="E6" s="13" t="s">
        <v>845</v>
      </c>
      <c r="F6" s="2" t="s">
        <v>666</v>
      </c>
      <c r="G6" s="12" t="s">
        <v>824</v>
      </c>
      <c r="H6" s="14" t="s">
        <v>823</v>
      </c>
      <c r="I6" s="3">
        <v>1</v>
      </c>
      <c r="J6" s="16">
        <f>JG</f>
        <v>1</v>
      </c>
      <c r="K6" s="14">
        <f t="shared" si="0"/>
        <v>22</v>
      </c>
      <c r="L6" s="16">
        <f t="shared" si="1"/>
        <v>22</v>
      </c>
      <c r="M6" s="16">
        <f>0.65*0.35*0.03*7850</f>
        <v>53.576249999999995</v>
      </c>
      <c r="N6" s="18">
        <f t="shared" si="2"/>
        <v>1.1786774999999998</v>
      </c>
      <c r="O6" s="16">
        <f>0.65*2*0.35</f>
        <v>0.45499999999999996</v>
      </c>
      <c r="P6" s="18">
        <f t="shared" si="3"/>
        <v>10.01</v>
      </c>
    </row>
    <row r="7" spans="1:17">
      <c r="A7" s="12">
        <v>6</v>
      </c>
      <c r="B7" s="2" t="s">
        <v>708</v>
      </c>
      <c r="C7" s="5" t="s">
        <v>657</v>
      </c>
      <c r="D7" s="1" t="s">
        <v>665</v>
      </c>
      <c r="E7" s="13" t="s">
        <v>845</v>
      </c>
      <c r="F7" s="2" t="s">
        <v>667</v>
      </c>
      <c r="G7" s="12" t="s">
        <v>824</v>
      </c>
      <c r="H7" s="14" t="s">
        <v>823</v>
      </c>
      <c r="I7" s="3">
        <v>1</v>
      </c>
      <c r="J7" s="16">
        <f>JG</f>
        <v>1</v>
      </c>
      <c r="K7" s="14">
        <f t="shared" si="0"/>
        <v>22</v>
      </c>
      <c r="L7" s="16">
        <f t="shared" si="1"/>
        <v>22</v>
      </c>
      <c r="M7" s="16">
        <f>0.716*0.35*0.015*7850</f>
        <v>29.508149999999997</v>
      </c>
      <c r="N7" s="18">
        <f t="shared" si="2"/>
        <v>0.6491792999999999</v>
      </c>
      <c r="O7" s="16">
        <f>0.716*2*0.35</f>
        <v>0.50119999999999998</v>
      </c>
      <c r="P7" s="18">
        <f t="shared" si="3"/>
        <v>11.026399999999999</v>
      </c>
    </row>
    <row r="8" spans="1:17" ht="24">
      <c r="A8" s="12">
        <v>7</v>
      </c>
      <c r="B8" s="2" t="s">
        <v>708</v>
      </c>
      <c r="C8" s="5" t="s">
        <v>657</v>
      </c>
      <c r="D8" s="1" t="s">
        <v>665</v>
      </c>
      <c r="E8" s="13" t="s">
        <v>845</v>
      </c>
      <c r="F8" s="2" t="s">
        <v>668</v>
      </c>
      <c r="G8" s="12" t="s">
        <v>824</v>
      </c>
      <c r="H8" s="14" t="s">
        <v>823</v>
      </c>
      <c r="I8" s="3">
        <v>1</v>
      </c>
      <c r="J8" s="16">
        <f>JG</f>
        <v>1</v>
      </c>
      <c r="K8" s="14">
        <f t="shared" si="0"/>
        <v>22</v>
      </c>
      <c r="L8" s="16">
        <f t="shared" si="1"/>
        <v>22</v>
      </c>
      <c r="M8" s="16">
        <f>0.435*0.65*0.01*7850</f>
        <v>22.195875000000001</v>
      </c>
      <c r="N8" s="18">
        <f t="shared" si="2"/>
        <v>0.48830925000000003</v>
      </c>
      <c r="O8" s="16">
        <f>0.435*2*0.65</f>
        <v>0.5655</v>
      </c>
      <c r="P8" s="18">
        <f t="shared" si="3"/>
        <v>12.441000000000001</v>
      </c>
    </row>
    <row r="9" spans="1:17">
      <c r="A9" s="12">
        <v>8</v>
      </c>
      <c r="B9" s="2" t="s">
        <v>708</v>
      </c>
      <c r="C9" s="5" t="s">
        <v>657</v>
      </c>
      <c r="D9" s="1" t="s">
        <v>665</v>
      </c>
      <c r="E9" s="13" t="s">
        <v>845</v>
      </c>
      <c r="F9" s="2" t="s">
        <v>669</v>
      </c>
      <c r="G9" s="12" t="s">
        <v>824</v>
      </c>
      <c r="H9" s="14" t="s">
        <v>823</v>
      </c>
      <c r="I9" s="3">
        <v>2</v>
      </c>
      <c r="J9" s="16">
        <f>JG</f>
        <v>2</v>
      </c>
      <c r="K9" s="14">
        <f t="shared" si="0"/>
        <v>22</v>
      </c>
      <c r="L9" s="16">
        <f t="shared" si="1"/>
        <v>44</v>
      </c>
      <c r="M9" s="16">
        <f>0.6*0.17*0.01*7850</f>
        <v>8.0070000000000014</v>
      </c>
      <c r="N9" s="18">
        <f t="shared" si="2"/>
        <v>0.35230800000000007</v>
      </c>
      <c r="O9" s="16">
        <f>0.6*2*0.17</f>
        <v>0.20400000000000001</v>
      </c>
      <c r="P9" s="18">
        <f t="shared" si="3"/>
        <v>8.9760000000000009</v>
      </c>
    </row>
    <row r="10" spans="1:17" ht="36">
      <c r="A10" s="12">
        <v>9</v>
      </c>
      <c r="B10" s="2" t="s">
        <v>709</v>
      </c>
      <c r="C10" s="5" t="s">
        <v>657</v>
      </c>
      <c r="D10" s="1" t="s">
        <v>670</v>
      </c>
      <c r="E10" s="13" t="s">
        <v>844</v>
      </c>
      <c r="F10" s="2" t="s">
        <v>277</v>
      </c>
      <c r="G10" s="12" t="s">
        <v>824</v>
      </c>
      <c r="H10" s="14" t="s">
        <v>823</v>
      </c>
      <c r="I10" s="3" t="s">
        <v>671</v>
      </c>
      <c r="J10" s="16">
        <f>JG</f>
        <v>4.3716958951875871</v>
      </c>
      <c r="K10" s="14">
        <f t="shared" si="0"/>
        <v>22</v>
      </c>
      <c r="L10" s="16">
        <f t="shared" si="1"/>
        <v>96.177309694126919</v>
      </c>
      <c r="M10" s="16">
        <v>43.6</v>
      </c>
      <c r="N10" s="18">
        <f t="shared" si="2"/>
        <v>4.1933307026639337</v>
      </c>
      <c r="O10" s="16">
        <v>1.1499999999999999</v>
      </c>
      <c r="P10" s="18">
        <f t="shared" si="3"/>
        <v>110.60390614824595</v>
      </c>
    </row>
    <row r="11" spans="1:17">
      <c r="A11" s="12">
        <v>10</v>
      </c>
      <c r="B11" s="2" t="s">
        <v>709</v>
      </c>
      <c r="C11" s="5" t="s">
        <v>657</v>
      </c>
      <c r="D11" s="1" t="s">
        <v>672</v>
      </c>
      <c r="F11" s="2" t="s">
        <v>479</v>
      </c>
      <c r="G11" s="12" t="s">
        <v>824</v>
      </c>
      <c r="H11" s="14" t="s">
        <v>823</v>
      </c>
      <c r="J11" s="16">
        <f>JG</f>
        <v>0</v>
      </c>
      <c r="L11" s="16">
        <f t="shared" si="1"/>
        <v>0</v>
      </c>
      <c r="M11" s="16"/>
      <c r="N11" s="18">
        <f t="shared" si="2"/>
        <v>0</v>
      </c>
      <c r="O11" s="16"/>
      <c r="P11" s="18">
        <f t="shared" si="3"/>
        <v>0</v>
      </c>
    </row>
    <row r="12" spans="1:17">
      <c r="A12" s="12">
        <v>11</v>
      </c>
      <c r="B12" s="2" t="s">
        <v>709</v>
      </c>
      <c r="C12" s="5" t="s">
        <v>657</v>
      </c>
      <c r="D12" s="1" t="s">
        <v>202</v>
      </c>
      <c r="F12" s="2" t="s">
        <v>479</v>
      </c>
      <c r="G12" s="12" t="s">
        <v>824</v>
      </c>
      <c r="H12" s="14" t="s">
        <v>823</v>
      </c>
      <c r="J12" s="16">
        <f>JG</f>
        <v>0</v>
      </c>
      <c r="L12" s="16">
        <f t="shared" si="1"/>
        <v>0</v>
      </c>
      <c r="M12" s="16"/>
      <c r="N12" s="18">
        <f t="shared" si="2"/>
        <v>0</v>
      </c>
      <c r="O12" s="16"/>
      <c r="P12" s="18">
        <f t="shared" si="3"/>
        <v>0</v>
      </c>
    </row>
    <row r="13" spans="1:17">
      <c r="A13" s="12">
        <v>12</v>
      </c>
      <c r="B13" s="2" t="s">
        <v>709</v>
      </c>
      <c r="C13" s="5" t="s">
        <v>657</v>
      </c>
      <c r="D13" s="1" t="s">
        <v>673</v>
      </c>
      <c r="F13" s="2" t="s">
        <v>479</v>
      </c>
      <c r="G13" s="12" t="s">
        <v>824</v>
      </c>
      <c r="H13" s="14" t="s">
        <v>823</v>
      </c>
      <c r="J13" s="16">
        <f>JG</f>
        <v>0</v>
      </c>
      <c r="L13" s="16">
        <f t="shared" si="1"/>
        <v>0</v>
      </c>
      <c r="M13" s="16"/>
      <c r="N13" s="18">
        <f t="shared" si="2"/>
        <v>0</v>
      </c>
      <c r="O13" s="16"/>
      <c r="P13" s="18">
        <f t="shared" si="3"/>
        <v>0</v>
      </c>
    </row>
    <row r="14" spans="1:17">
      <c r="A14" s="12">
        <v>13</v>
      </c>
      <c r="B14" s="2" t="s">
        <v>709</v>
      </c>
      <c r="C14" s="2" t="s">
        <v>674</v>
      </c>
      <c r="D14" s="1" t="s">
        <v>675</v>
      </c>
      <c r="E14" s="13" t="s">
        <v>826</v>
      </c>
      <c r="F14" s="2" t="s">
        <v>676</v>
      </c>
      <c r="G14" s="12" t="s">
        <v>824</v>
      </c>
      <c r="H14" s="14" t="s">
        <v>823</v>
      </c>
      <c r="I14" s="3">
        <v>6</v>
      </c>
      <c r="J14" s="16">
        <f>JG</f>
        <v>6</v>
      </c>
      <c r="K14" s="13">
        <v>30</v>
      </c>
      <c r="L14" s="16">
        <f t="shared" si="1"/>
        <v>180</v>
      </c>
      <c r="M14" s="16">
        <v>17.904</v>
      </c>
      <c r="N14" s="18">
        <f t="shared" si="2"/>
        <v>3.2227199999999998</v>
      </c>
      <c r="O14" s="17">
        <f>PI()*0.127</f>
        <v>0.39898226700590372</v>
      </c>
      <c r="P14" s="18">
        <f t="shared" si="3"/>
        <v>71.816808061062673</v>
      </c>
    </row>
    <row r="15" spans="1:17">
      <c r="A15" s="12">
        <v>14</v>
      </c>
      <c r="B15" s="2" t="s">
        <v>709</v>
      </c>
      <c r="C15" s="2" t="s">
        <v>674</v>
      </c>
      <c r="D15" s="1" t="s">
        <v>677</v>
      </c>
      <c r="E15" s="13" t="s">
        <v>826</v>
      </c>
      <c r="F15" s="2" t="s">
        <v>678</v>
      </c>
      <c r="G15" s="12" t="s">
        <v>824</v>
      </c>
      <c r="H15" s="14" t="s">
        <v>823</v>
      </c>
      <c r="I15" s="3" t="s">
        <v>679</v>
      </c>
      <c r="J15" s="16">
        <f>JG</f>
        <v>7.5</v>
      </c>
      <c r="K15" s="13">
        <v>12</v>
      </c>
      <c r="L15" s="16">
        <f t="shared" si="1"/>
        <v>90</v>
      </c>
      <c r="M15" s="17">
        <v>15.981</v>
      </c>
      <c r="N15" s="18">
        <f t="shared" si="2"/>
        <v>1.4382900000000001</v>
      </c>
      <c r="O15" s="17">
        <f>PI()*0.114</f>
        <v>0.35814156250923646</v>
      </c>
      <c r="P15" s="18">
        <f t="shared" si="3"/>
        <v>32.232740625831283</v>
      </c>
    </row>
    <row r="16" spans="1:17">
      <c r="A16" s="12">
        <v>15</v>
      </c>
      <c r="B16" s="2" t="s">
        <v>709</v>
      </c>
      <c r="C16" s="2" t="s">
        <v>674</v>
      </c>
      <c r="D16" s="1" t="s">
        <v>680</v>
      </c>
      <c r="E16" s="13" t="s">
        <v>840</v>
      </c>
      <c r="F16" s="2" t="s">
        <v>681</v>
      </c>
      <c r="G16" s="12" t="s">
        <v>824</v>
      </c>
      <c r="H16" s="14" t="s">
        <v>823</v>
      </c>
      <c r="I16" s="3">
        <v>60</v>
      </c>
      <c r="J16" s="16">
        <f>JG</f>
        <v>60</v>
      </c>
      <c r="K16" s="13">
        <v>10</v>
      </c>
      <c r="L16" s="16">
        <f t="shared" si="1"/>
        <v>600</v>
      </c>
      <c r="M16" s="17">
        <v>17.2</v>
      </c>
      <c r="N16" s="18">
        <f t="shared" si="2"/>
        <v>10.32</v>
      </c>
      <c r="O16" s="17">
        <v>0.53800000000000003</v>
      </c>
      <c r="P16" s="18">
        <f t="shared" si="3"/>
        <v>322.8</v>
      </c>
    </row>
    <row r="17" spans="1:17">
      <c r="A17" s="12">
        <v>16</v>
      </c>
      <c r="B17" s="2" t="s">
        <v>709</v>
      </c>
      <c r="C17" s="2" t="s">
        <v>674</v>
      </c>
      <c r="D17" s="1" t="s">
        <v>682</v>
      </c>
      <c r="E17" s="13" t="s">
        <v>843</v>
      </c>
      <c r="F17" s="2" t="s">
        <v>683</v>
      </c>
      <c r="G17" s="12" t="s">
        <v>824</v>
      </c>
      <c r="H17" s="14" t="s">
        <v>823</v>
      </c>
      <c r="I17" s="3" t="s">
        <v>684</v>
      </c>
      <c r="J17" s="16">
        <f>JG</f>
        <v>6.9</v>
      </c>
      <c r="K17" s="13">
        <v>10</v>
      </c>
      <c r="L17" s="16">
        <f t="shared" si="1"/>
        <v>69</v>
      </c>
      <c r="M17" s="17">
        <v>0.88800000000000001</v>
      </c>
      <c r="N17" s="18">
        <f t="shared" si="2"/>
        <v>6.1272E-2</v>
      </c>
      <c r="O17" s="17">
        <f>PI()*0.012</f>
        <v>3.7699111843077518E-2</v>
      </c>
      <c r="P17" s="18">
        <f t="shared" si="3"/>
        <v>2.6012387171723486</v>
      </c>
    </row>
    <row r="18" spans="1:17">
      <c r="A18" s="12">
        <v>17</v>
      </c>
      <c r="B18" s="2" t="s">
        <v>709</v>
      </c>
      <c r="C18" s="2" t="s">
        <v>674</v>
      </c>
      <c r="D18" s="1" t="s">
        <v>687</v>
      </c>
      <c r="E18" s="13" t="s">
        <v>843</v>
      </c>
      <c r="F18" s="2" t="s">
        <v>683</v>
      </c>
      <c r="G18" s="12" t="s">
        <v>824</v>
      </c>
      <c r="H18" s="14" t="s">
        <v>823</v>
      </c>
      <c r="I18" s="3" t="s">
        <v>688</v>
      </c>
      <c r="J18" s="16">
        <f>JG</f>
        <v>3.1784430150625633</v>
      </c>
      <c r="K18" s="13">
        <v>40</v>
      </c>
      <c r="L18" s="16">
        <f t="shared" si="1"/>
        <v>127.13772060250253</v>
      </c>
      <c r="M18" s="17">
        <v>0.88800000000000001</v>
      </c>
      <c r="N18" s="18">
        <f t="shared" si="2"/>
        <v>0.11289829589502225</v>
      </c>
      <c r="O18" s="17">
        <f>PI()*0.012</f>
        <v>3.7699111843077518E-2</v>
      </c>
      <c r="P18" s="18">
        <f t="shared" si="3"/>
        <v>4.7929791484676834</v>
      </c>
    </row>
    <row r="19" spans="1:17">
      <c r="A19" s="12">
        <v>18</v>
      </c>
      <c r="B19" s="2" t="s">
        <v>709</v>
      </c>
      <c r="C19" s="2" t="s">
        <v>674</v>
      </c>
      <c r="D19" s="1" t="s">
        <v>685</v>
      </c>
      <c r="E19" s="13" t="s">
        <v>826</v>
      </c>
      <c r="F19" s="2" t="s">
        <v>686</v>
      </c>
      <c r="G19" s="12" t="s">
        <v>824</v>
      </c>
      <c r="H19" s="14" t="s">
        <v>823</v>
      </c>
      <c r="I19" s="3">
        <v>1.05</v>
      </c>
      <c r="J19" s="16">
        <f>JG</f>
        <v>1.05</v>
      </c>
      <c r="K19" s="13">
        <v>20</v>
      </c>
      <c r="L19" s="16">
        <f t="shared" si="1"/>
        <v>21</v>
      </c>
      <c r="M19" s="17">
        <v>2.2709999999999999</v>
      </c>
      <c r="N19" s="18">
        <f t="shared" si="2"/>
        <v>4.7690999999999997E-2</v>
      </c>
      <c r="O19" s="17">
        <f>PI()*0.0337</f>
        <v>0.10587167242597603</v>
      </c>
      <c r="P19" s="18">
        <f t="shared" si="3"/>
        <v>2.2233051209454966</v>
      </c>
    </row>
    <row r="20" spans="1:17">
      <c r="A20" s="12">
        <v>19</v>
      </c>
      <c r="B20" s="2" t="s">
        <v>708</v>
      </c>
      <c r="C20" s="2" t="s">
        <v>689</v>
      </c>
      <c r="D20" s="1" t="s">
        <v>690</v>
      </c>
      <c r="E20" s="13" t="s">
        <v>844</v>
      </c>
      <c r="F20" s="2" t="s">
        <v>691</v>
      </c>
      <c r="G20" s="12" t="s">
        <v>824</v>
      </c>
      <c r="H20" s="14" t="s">
        <v>823</v>
      </c>
      <c r="I20" s="3">
        <v>5.9660000000000002</v>
      </c>
      <c r="J20" s="16">
        <f>JG</f>
        <v>5.9660000000000002</v>
      </c>
      <c r="K20" s="13">
        <v>20</v>
      </c>
      <c r="L20" s="16">
        <f t="shared" si="1"/>
        <v>119.32000000000001</v>
      </c>
      <c r="M20" s="17">
        <v>78.099999999999994</v>
      </c>
      <c r="N20" s="18">
        <f t="shared" si="2"/>
        <v>9.318892</v>
      </c>
      <c r="O20" s="17">
        <v>1.64</v>
      </c>
      <c r="P20" s="18">
        <f t="shared" si="3"/>
        <v>195.6848</v>
      </c>
    </row>
    <row r="21" spans="1:17">
      <c r="A21" s="12">
        <v>20</v>
      </c>
      <c r="B21" s="2" t="s">
        <v>708</v>
      </c>
      <c r="C21" s="2" t="s">
        <v>689</v>
      </c>
      <c r="D21" s="1" t="s">
        <v>690</v>
      </c>
      <c r="E21" s="13" t="s">
        <v>845</v>
      </c>
      <c r="F21" s="2" t="s">
        <v>692</v>
      </c>
      <c r="G21" s="12" t="s">
        <v>824</v>
      </c>
      <c r="H21" s="14" t="s">
        <v>823</v>
      </c>
      <c r="I21" s="3">
        <v>2</v>
      </c>
      <c r="J21" s="16">
        <f>JG</f>
        <v>2</v>
      </c>
      <c r="K21" s="13">
        <v>20</v>
      </c>
      <c r="L21" s="16">
        <f t="shared" si="1"/>
        <v>40</v>
      </c>
      <c r="M21" s="17">
        <f>0.201*0.518*0.012*7850</f>
        <v>9.8079156000000012</v>
      </c>
      <c r="N21" s="18">
        <f t="shared" si="2"/>
        <v>0.39231662400000006</v>
      </c>
      <c r="O21" s="17">
        <f>0.201*2*0.518</f>
        <v>0.20823600000000003</v>
      </c>
      <c r="P21" s="18">
        <f t="shared" si="3"/>
        <v>8.3294400000000017</v>
      </c>
    </row>
    <row r="22" spans="1:17">
      <c r="A22" s="12">
        <v>21</v>
      </c>
      <c r="B22" s="2" t="s">
        <v>708</v>
      </c>
      <c r="C22" s="2" t="s">
        <v>689</v>
      </c>
      <c r="D22" s="1" t="s">
        <v>690</v>
      </c>
      <c r="E22" s="13" t="s">
        <v>845</v>
      </c>
      <c r="F22" s="2" t="s">
        <v>693</v>
      </c>
      <c r="G22" s="12" t="s">
        <v>824</v>
      </c>
      <c r="H22" s="14" t="s">
        <v>823</v>
      </c>
      <c r="I22" s="3">
        <v>14</v>
      </c>
      <c r="J22" s="16">
        <f>JG</f>
        <v>14</v>
      </c>
      <c r="K22" s="13">
        <v>20</v>
      </c>
      <c r="L22" s="16">
        <f t="shared" si="1"/>
        <v>280</v>
      </c>
      <c r="M22" s="17">
        <f>0.09*0.26*0.006*7850</f>
        <v>1.1021399999999999</v>
      </c>
      <c r="N22" s="18">
        <f t="shared" si="2"/>
        <v>0.30859920000000002</v>
      </c>
      <c r="O22" s="17">
        <f>0.09*2*0.26</f>
        <v>4.6800000000000001E-2</v>
      </c>
      <c r="P22" s="18">
        <f t="shared" si="3"/>
        <v>13.104000000000001</v>
      </c>
    </row>
    <row r="23" spans="1:17">
      <c r="A23" s="12">
        <v>22</v>
      </c>
      <c r="B23" s="2" t="s">
        <v>708</v>
      </c>
      <c r="C23" s="2" t="s">
        <v>689</v>
      </c>
      <c r="D23" s="1" t="s">
        <v>694</v>
      </c>
      <c r="E23" s="13" t="s">
        <v>845</v>
      </c>
      <c r="F23" s="2" t="s">
        <v>695</v>
      </c>
      <c r="G23" s="12" t="s">
        <v>824</v>
      </c>
      <c r="H23" s="14" t="s">
        <v>823</v>
      </c>
      <c r="I23" s="3">
        <v>1</v>
      </c>
      <c r="J23" s="16">
        <f>JG</f>
        <v>1</v>
      </c>
      <c r="K23" s="13">
        <f>2*11</f>
        <v>22</v>
      </c>
      <c r="L23" s="16">
        <f t="shared" si="1"/>
        <v>22</v>
      </c>
      <c r="M23" s="17">
        <f>0.3*0.1*0.014*7850</f>
        <v>3.2970000000000002</v>
      </c>
      <c r="N23" s="18">
        <f t="shared" si="2"/>
        <v>7.2534000000000001E-2</v>
      </c>
      <c r="O23" s="17">
        <f>0.3*2*0.1</f>
        <v>0.06</v>
      </c>
      <c r="P23" s="18">
        <f t="shared" si="3"/>
        <v>1.3199999999999998</v>
      </c>
    </row>
    <row r="24" spans="1:17">
      <c r="A24" s="12">
        <v>23</v>
      </c>
      <c r="B24" s="2" t="s">
        <v>708</v>
      </c>
      <c r="C24" s="2" t="s">
        <v>689</v>
      </c>
      <c r="D24" s="1" t="s">
        <v>696</v>
      </c>
      <c r="E24" s="13" t="s">
        <v>845</v>
      </c>
      <c r="F24" s="2" t="s">
        <v>697</v>
      </c>
      <c r="G24" s="12" t="s">
        <v>824</v>
      </c>
      <c r="H24" s="14" t="s">
        <v>823</v>
      </c>
      <c r="I24" s="3">
        <v>1</v>
      </c>
      <c r="J24" s="16">
        <f>JG</f>
        <v>1</v>
      </c>
      <c r="K24" s="13">
        <v>4</v>
      </c>
      <c r="L24" s="16">
        <f t="shared" si="1"/>
        <v>4</v>
      </c>
      <c r="M24" s="17">
        <f>0.42*1*0.008*7850</f>
        <v>26.376000000000001</v>
      </c>
      <c r="N24" s="18">
        <f t="shared" si="2"/>
        <v>0.105504</v>
      </c>
      <c r="O24" s="17">
        <f>0.42*2*1</f>
        <v>0.84</v>
      </c>
      <c r="P24" s="18">
        <f t="shared" si="3"/>
        <v>3.36</v>
      </c>
    </row>
    <row r="25" spans="1:17" ht="24">
      <c r="A25" s="12">
        <v>24</v>
      </c>
      <c r="B25" s="2" t="s">
        <v>708</v>
      </c>
      <c r="C25" s="2" t="s">
        <v>689</v>
      </c>
      <c r="D25" s="1" t="s">
        <v>696</v>
      </c>
      <c r="E25" s="13" t="s">
        <v>845</v>
      </c>
      <c r="F25" s="2" t="s">
        <v>698</v>
      </c>
      <c r="G25" s="12" t="s">
        <v>824</v>
      </c>
      <c r="H25" s="14" t="s">
        <v>823</v>
      </c>
      <c r="I25" s="3">
        <v>1</v>
      </c>
      <c r="J25" s="16">
        <f>JG</f>
        <v>1</v>
      </c>
      <c r="K25" s="13">
        <v>4</v>
      </c>
      <c r="L25" s="16">
        <f t="shared" si="1"/>
        <v>4</v>
      </c>
      <c r="M25" s="17">
        <f>(0.28*0.46-0.04*0.5*0.06*2)*0.012*7850</f>
        <v>11.906880000000001</v>
      </c>
      <c r="N25" s="18">
        <f t="shared" si="2"/>
        <v>4.7627520000000007E-2</v>
      </c>
      <c r="O25" s="17">
        <f>0.28*2*0.46-0.04*0.06*2</f>
        <v>0.25280000000000002</v>
      </c>
      <c r="P25" s="18">
        <f t="shared" si="3"/>
        <v>1.0112000000000001</v>
      </c>
    </row>
    <row r="26" spans="1:17">
      <c r="A26" s="12">
        <v>25</v>
      </c>
      <c r="B26" s="2" t="s">
        <v>708</v>
      </c>
      <c r="C26" s="2" t="s">
        <v>689</v>
      </c>
      <c r="D26" s="1" t="s">
        <v>696</v>
      </c>
      <c r="E26" s="13" t="s">
        <v>845</v>
      </c>
      <c r="F26" s="2" t="s">
        <v>699</v>
      </c>
      <c r="G26" s="12" t="s">
        <v>824</v>
      </c>
      <c r="H26" s="14" t="s">
        <v>823</v>
      </c>
      <c r="I26" s="3">
        <v>1</v>
      </c>
      <c r="J26" s="16">
        <f>JG</f>
        <v>1</v>
      </c>
      <c r="K26" s="13">
        <v>4</v>
      </c>
      <c r="L26" s="16">
        <f t="shared" si="1"/>
        <v>4</v>
      </c>
      <c r="M26" s="17">
        <f>0.2*0.54*0.012*7850</f>
        <v>10.173600000000002</v>
      </c>
      <c r="N26" s="18">
        <f t="shared" si="2"/>
        <v>4.0694400000000013E-2</v>
      </c>
      <c r="O26" s="17">
        <f>0.2*2*0.54</f>
        <v>0.21600000000000003</v>
      </c>
      <c r="P26" s="18">
        <f t="shared" si="3"/>
        <v>0.8640000000000001</v>
      </c>
    </row>
    <row r="27" spans="1:17">
      <c r="A27" s="12">
        <v>26</v>
      </c>
      <c r="B27" s="2" t="s">
        <v>708</v>
      </c>
      <c r="C27" s="2" t="s">
        <v>689</v>
      </c>
      <c r="D27" s="1" t="s">
        <v>696</v>
      </c>
      <c r="E27" s="13" t="s">
        <v>845</v>
      </c>
      <c r="F27" s="2" t="s">
        <v>700</v>
      </c>
      <c r="G27" s="12" t="s">
        <v>824</v>
      </c>
      <c r="H27" s="14" t="s">
        <v>823</v>
      </c>
      <c r="I27" s="3">
        <v>1</v>
      </c>
      <c r="J27" s="16">
        <f>JG</f>
        <v>1</v>
      </c>
      <c r="K27" s="13">
        <v>4</v>
      </c>
      <c r="L27" s="16">
        <f t="shared" si="1"/>
        <v>4</v>
      </c>
      <c r="M27" s="17">
        <f>0.2*1*0.012*7850</f>
        <v>18.840000000000003</v>
      </c>
      <c r="N27" s="18">
        <f t="shared" si="2"/>
        <v>7.536000000000001E-2</v>
      </c>
      <c r="O27" s="17">
        <f>0.2*2*1</f>
        <v>0.4</v>
      </c>
      <c r="P27" s="18">
        <f t="shared" si="3"/>
        <v>1.6</v>
      </c>
    </row>
    <row r="28" spans="1:17">
      <c r="A28" s="12">
        <v>27</v>
      </c>
      <c r="B28" s="2" t="s">
        <v>708</v>
      </c>
      <c r="C28" s="2" t="s">
        <v>689</v>
      </c>
      <c r="D28" s="1" t="s">
        <v>696</v>
      </c>
      <c r="E28" s="13" t="s">
        <v>845</v>
      </c>
      <c r="F28" s="2" t="s">
        <v>701</v>
      </c>
      <c r="G28" s="12" t="s">
        <v>824</v>
      </c>
      <c r="H28" s="14" t="s">
        <v>823</v>
      </c>
      <c r="I28" s="3">
        <v>2</v>
      </c>
      <c r="J28" s="16">
        <f>JG</f>
        <v>2</v>
      </c>
      <c r="K28" s="13">
        <v>4</v>
      </c>
      <c r="L28" s="16">
        <f t="shared" si="1"/>
        <v>8</v>
      </c>
      <c r="M28" s="17">
        <f>0.136*0.42*0.012*7850</f>
        <v>5.3807040000000006</v>
      </c>
      <c r="N28" s="18">
        <f t="shared" si="2"/>
        <v>4.3045632000000007E-2</v>
      </c>
      <c r="O28" s="17">
        <f>0.136*2*0.42</f>
        <v>0.11424000000000001</v>
      </c>
      <c r="P28" s="18">
        <f t="shared" si="3"/>
        <v>0.91392000000000007</v>
      </c>
    </row>
    <row r="29" spans="1:17">
      <c r="A29" s="12">
        <v>28</v>
      </c>
      <c r="B29" s="2" t="s">
        <v>708</v>
      </c>
      <c r="C29" s="2" t="s">
        <v>689</v>
      </c>
      <c r="D29" s="1" t="s">
        <v>696</v>
      </c>
      <c r="E29" s="13" t="s">
        <v>845</v>
      </c>
      <c r="F29" s="2" t="s">
        <v>702</v>
      </c>
      <c r="G29" s="12" t="s">
        <v>824</v>
      </c>
      <c r="H29" s="14" t="s">
        <v>823</v>
      </c>
      <c r="I29" s="3">
        <v>4</v>
      </c>
      <c r="J29" s="16">
        <f>JG</f>
        <v>4</v>
      </c>
      <c r="K29" s="13">
        <v>4</v>
      </c>
      <c r="L29" s="16">
        <f t="shared" si="1"/>
        <v>16</v>
      </c>
      <c r="M29" s="17">
        <f>0.08*0.42*0.006*7850</f>
        <v>1.58256</v>
      </c>
      <c r="N29" s="18">
        <f t="shared" si="2"/>
        <v>2.532096E-2</v>
      </c>
      <c r="O29" s="17">
        <f>0.08*2*0.42</f>
        <v>6.7199999999999996E-2</v>
      </c>
      <c r="P29" s="18">
        <f t="shared" si="3"/>
        <v>1.0751999999999999</v>
      </c>
    </row>
    <row r="30" spans="1:17" ht="24">
      <c r="A30" s="12">
        <v>29</v>
      </c>
      <c r="B30" s="2" t="s">
        <v>710</v>
      </c>
      <c r="C30" s="2" t="s">
        <v>602</v>
      </c>
      <c r="D30" s="1" t="s">
        <v>596</v>
      </c>
      <c r="E30" s="13" t="s">
        <v>844</v>
      </c>
      <c r="F30" s="2" t="s">
        <v>226</v>
      </c>
      <c r="G30" s="12" t="s">
        <v>824</v>
      </c>
      <c r="H30" s="14" t="s">
        <v>823</v>
      </c>
      <c r="I30" s="3">
        <v>6</v>
      </c>
      <c r="J30" s="16">
        <f>JG</f>
        <v>6</v>
      </c>
      <c r="K30" s="13">
        <v>20</v>
      </c>
      <c r="L30" s="16">
        <f t="shared" si="1"/>
        <v>120</v>
      </c>
      <c r="M30" s="17">
        <v>29.9</v>
      </c>
      <c r="N30" s="18">
        <f t="shared" si="2"/>
        <v>3.5880000000000001</v>
      </c>
      <c r="O30" s="17">
        <v>0.96199999999999997</v>
      </c>
      <c r="P30" s="18">
        <f t="shared" si="3"/>
        <v>115.44</v>
      </c>
    </row>
    <row r="31" spans="1:17" ht="24">
      <c r="A31" s="12">
        <v>30</v>
      </c>
      <c r="B31" s="2" t="s">
        <v>707</v>
      </c>
      <c r="C31" s="2" t="s">
        <v>602</v>
      </c>
      <c r="D31" s="1" t="s">
        <v>596</v>
      </c>
      <c r="E31" s="13" t="s">
        <v>844</v>
      </c>
      <c r="F31" s="2" t="s">
        <v>226</v>
      </c>
      <c r="G31" s="12" t="s">
        <v>824</v>
      </c>
      <c r="H31" s="14" t="s">
        <v>823</v>
      </c>
      <c r="I31" s="3">
        <v>6</v>
      </c>
      <c r="J31" s="16">
        <f>JG</f>
        <v>6</v>
      </c>
      <c r="K31" s="13">
        <v>20</v>
      </c>
      <c r="L31" s="16">
        <f t="shared" si="1"/>
        <v>120</v>
      </c>
      <c r="M31" s="17">
        <v>29.9</v>
      </c>
      <c r="N31" s="18">
        <f t="shared" si="2"/>
        <v>3.5880000000000001</v>
      </c>
      <c r="O31" s="17">
        <v>0.96199999999999997</v>
      </c>
      <c r="P31" s="18">
        <f t="shared" si="3"/>
        <v>115.44</v>
      </c>
    </row>
    <row r="32" spans="1:17" ht="24">
      <c r="A32" s="12">
        <v>31</v>
      </c>
      <c r="C32" s="2" t="s">
        <v>602</v>
      </c>
      <c r="D32" s="1" t="s">
        <v>603</v>
      </c>
      <c r="E32" s="13" t="s">
        <v>844</v>
      </c>
      <c r="F32" s="2" t="s">
        <v>189</v>
      </c>
      <c r="G32" s="12" t="s">
        <v>824</v>
      </c>
      <c r="H32" s="14" t="s">
        <v>823</v>
      </c>
      <c r="I32" s="3" t="s">
        <v>45</v>
      </c>
      <c r="J32" s="16">
        <f>JG</f>
        <v>5.4083269131959844</v>
      </c>
      <c r="K32" s="13">
        <v>4</v>
      </c>
      <c r="L32" s="16">
        <f t="shared" si="1"/>
        <v>21.633307652783937</v>
      </c>
      <c r="M32" s="17">
        <v>31.1</v>
      </c>
      <c r="N32" s="18">
        <f t="shared" si="2"/>
        <v>0.67279586800158053</v>
      </c>
      <c r="O32" s="17">
        <v>0.872</v>
      </c>
      <c r="P32" s="18">
        <f t="shared" si="3"/>
        <v>18.864244273227595</v>
      </c>
      <c r="Q32" s="13" t="s">
        <v>85</v>
      </c>
    </row>
    <row r="33" spans="1:17" ht="24">
      <c r="A33" s="12">
        <v>32</v>
      </c>
      <c r="C33" s="2" t="s">
        <v>602</v>
      </c>
      <c r="D33" s="1" t="s">
        <v>603</v>
      </c>
      <c r="E33" s="13" t="s">
        <v>844</v>
      </c>
      <c r="F33" s="2" t="s">
        <v>189</v>
      </c>
      <c r="G33" s="12" t="s">
        <v>824</v>
      </c>
      <c r="H33" s="14" t="s">
        <v>823</v>
      </c>
      <c r="I33" s="3" t="s">
        <v>704</v>
      </c>
      <c r="J33" s="16">
        <f>JG</f>
        <v>5.6883995112861054</v>
      </c>
      <c r="K33" s="13">
        <v>4</v>
      </c>
      <c r="L33" s="16">
        <f t="shared" si="1"/>
        <v>22.753598045144422</v>
      </c>
      <c r="M33" s="17">
        <v>31.1</v>
      </c>
      <c r="N33" s="18">
        <f t="shared" si="2"/>
        <v>0.70763689920399153</v>
      </c>
      <c r="O33" s="17">
        <v>0.872</v>
      </c>
      <c r="P33" s="18">
        <f t="shared" si="3"/>
        <v>19.841137495365935</v>
      </c>
    </row>
    <row r="34" spans="1:17" ht="24">
      <c r="A34" s="12">
        <v>33</v>
      </c>
      <c r="C34" s="2" t="s">
        <v>602</v>
      </c>
      <c r="D34" s="1" t="s">
        <v>603</v>
      </c>
      <c r="E34" s="13" t="s">
        <v>826</v>
      </c>
      <c r="F34" s="2" t="s">
        <v>678</v>
      </c>
      <c r="G34" s="12" t="s">
        <v>824</v>
      </c>
      <c r="H34" s="14" t="s">
        <v>823</v>
      </c>
      <c r="I34" s="3" t="s">
        <v>705</v>
      </c>
      <c r="J34" s="16">
        <f>JG</f>
        <v>3.3845958399785343</v>
      </c>
      <c r="K34" s="13">
        <v>12</v>
      </c>
      <c r="L34" s="16">
        <f t="shared" si="1"/>
        <v>40.615150079742413</v>
      </c>
      <c r="M34" s="17">
        <v>15.981</v>
      </c>
      <c r="N34" s="18">
        <f t="shared" si="2"/>
        <v>0.64907071342436351</v>
      </c>
      <c r="O34" s="17">
        <f>PI()*0.114</f>
        <v>0.35814156250923646</v>
      </c>
      <c r="P34" s="18">
        <f t="shared" si="3"/>
        <v>14.545973311106087</v>
      </c>
    </row>
    <row r="35" spans="1:17" ht="24">
      <c r="A35" s="12">
        <v>34</v>
      </c>
      <c r="B35" s="2" t="s">
        <v>713</v>
      </c>
      <c r="C35" s="2" t="s">
        <v>711</v>
      </c>
      <c r="D35" s="1" t="s">
        <v>588</v>
      </c>
      <c r="F35" s="2" t="s">
        <v>996</v>
      </c>
      <c r="G35" s="12" t="s">
        <v>824</v>
      </c>
      <c r="H35" s="14" t="s">
        <v>823</v>
      </c>
      <c r="I35" s="3" t="s">
        <v>714</v>
      </c>
      <c r="J35" s="16">
        <f>JG</f>
        <v>0.94999999999999951</v>
      </c>
      <c r="K35" s="13">
        <v>11</v>
      </c>
      <c r="L35" s="16">
        <f t="shared" si="1"/>
        <v>10.449999999999994</v>
      </c>
      <c r="M35" s="17">
        <v>71.8</v>
      </c>
      <c r="N35" s="18">
        <f t="shared" si="2"/>
        <v>0.75030999999999948</v>
      </c>
      <c r="O35" s="17">
        <v>1.46</v>
      </c>
      <c r="P35" s="18">
        <f t="shared" si="3"/>
        <v>15.256999999999991</v>
      </c>
      <c r="Q35" s="13" t="s">
        <v>85</v>
      </c>
    </row>
    <row r="36" spans="1:17" ht="24">
      <c r="A36" s="12">
        <v>35</v>
      </c>
      <c r="B36" s="2" t="s">
        <v>715</v>
      </c>
      <c r="C36" s="2" t="s">
        <v>711</v>
      </c>
      <c r="D36" s="1" t="s">
        <v>596</v>
      </c>
      <c r="E36" s="13" t="s">
        <v>844</v>
      </c>
      <c r="F36" s="2" t="s">
        <v>716</v>
      </c>
      <c r="G36" s="12" t="s">
        <v>824</v>
      </c>
      <c r="H36" s="14" t="s">
        <v>823</v>
      </c>
      <c r="I36" s="3">
        <v>0.8</v>
      </c>
      <c r="J36" s="16">
        <f>JG</f>
        <v>0.8</v>
      </c>
      <c r="K36" s="13">
        <v>11</v>
      </c>
      <c r="L36" s="16">
        <f t="shared" si="1"/>
        <v>8.8000000000000007</v>
      </c>
      <c r="M36" s="17">
        <v>20.9</v>
      </c>
      <c r="N36" s="18">
        <f t="shared" si="2"/>
        <v>0.18392000000000003</v>
      </c>
      <c r="O36" s="17">
        <v>0.77500000000000002</v>
      </c>
      <c r="P36" s="18">
        <f t="shared" si="3"/>
        <v>6.8200000000000012</v>
      </c>
    </row>
    <row r="37" spans="1:17" ht="24">
      <c r="A37" s="12">
        <v>36</v>
      </c>
      <c r="B37" s="2" t="s">
        <v>715</v>
      </c>
      <c r="C37" s="2" t="s">
        <v>711</v>
      </c>
      <c r="D37" s="1" t="s">
        <v>596</v>
      </c>
      <c r="E37" s="13" t="s">
        <v>840</v>
      </c>
      <c r="F37" s="1" t="s">
        <v>717</v>
      </c>
      <c r="G37" s="12" t="s">
        <v>824</v>
      </c>
      <c r="H37" s="14" t="s">
        <v>823</v>
      </c>
      <c r="I37" s="3" t="s">
        <v>718</v>
      </c>
      <c r="J37" s="16">
        <f>JG</f>
        <v>115.6</v>
      </c>
      <c r="K37" s="13">
        <v>1</v>
      </c>
      <c r="L37" s="16">
        <f t="shared" si="1"/>
        <v>115.6</v>
      </c>
      <c r="M37" s="17">
        <v>22.6</v>
      </c>
      <c r="N37" s="18">
        <f t="shared" si="2"/>
        <v>2.6125600000000002</v>
      </c>
      <c r="O37" s="17">
        <v>0.65400000000000003</v>
      </c>
      <c r="P37" s="18">
        <f t="shared" si="3"/>
        <v>75.602400000000003</v>
      </c>
    </row>
    <row r="38" spans="1:17" ht="24">
      <c r="A38" s="12">
        <v>37</v>
      </c>
      <c r="B38" s="2" t="s">
        <v>715</v>
      </c>
      <c r="C38" s="2" t="s">
        <v>711</v>
      </c>
      <c r="D38" s="1" t="s">
        <v>596</v>
      </c>
      <c r="E38" s="13" t="s">
        <v>842</v>
      </c>
      <c r="F38" s="2" t="s">
        <v>719</v>
      </c>
      <c r="G38" s="12" t="s">
        <v>824</v>
      </c>
      <c r="H38" s="14" t="s">
        <v>823</v>
      </c>
      <c r="I38" s="3">
        <v>0.8</v>
      </c>
      <c r="J38" s="16">
        <f>JG</f>
        <v>0.8</v>
      </c>
      <c r="K38" s="13">
        <v>10</v>
      </c>
      <c r="L38" s="16">
        <f t="shared" si="1"/>
        <v>8</v>
      </c>
      <c r="M38" s="17">
        <v>20.5</v>
      </c>
      <c r="N38" s="18">
        <f t="shared" si="2"/>
        <v>0.16400000000000001</v>
      </c>
      <c r="O38" s="17">
        <v>0.621</v>
      </c>
      <c r="P38" s="18">
        <f t="shared" si="3"/>
        <v>4.968</v>
      </c>
    </row>
    <row r="39" spans="1:17" ht="24">
      <c r="A39" s="12">
        <v>38</v>
      </c>
      <c r="B39" s="2" t="s">
        <v>720</v>
      </c>
      <c r="C39" s="2" t="s">
        <v>721</v>
      </c>
      <c r="D39" s="1" t="s">
        <v>596</v>
      </c>
      <c r="E39" s="13" t="s">
        <v>842</v>
      </c>
      <c r="F39" s="2" t="s">
        <v>722</v>
      </c>
      <c r="G39" s="12" t="s">
        <v>824</v>
      </c>
      <c r="H39" s="14" t="s">
        <v>823</v>
      </c>
      <c r="I39" s="3" t="s">
        <v>723</v>
      </c>
      <c r="J39" s="16">
        <f>JG</f>
        <v>0.85</v>
      </c>
      <c r="K39" s="13">
        <v>11</v>
      </c>
      <c r="L39" s="16">
        <f t="shared" si="1"/>
        <v>9.35</v>
      </c>
      <c r="M39" s="17">
        <v>27.9</v>
      </c>
      <c r="N39" s="18">
        <f t="shared" si="2"/>
        <v>0.26086499999999996</v>
      </c>
      <c r="O39" s="17">
        <v>0.74199999999999999</v>
      </c>
      <c r="P39" s="18">
        <f t="shared" si="3"/>
        <v>6.9376999999999995</v>
      </c>
    </row>
    <row r="40" spans="1:17" ht="24">
      <c r="A40" s="12">
        <v>39</v>
      </c>
      <c r="B40" s="2" t="s">
        <v>720</v>
      </c>
      <c r="C40" s="2" t="s">
        <v>721</v>
      </c>
      <c r="D40" s="1" t="s">
        <v>596</v>
      </c>
      <c r="E40" s="13" t="s">
        <v>840</v>
      </c>
      <c r="F40" s="2" t="s">
        <v>724</v>
      </c>
      <c r="G40" s="12" t="s">
        <v>824</v>
      </c>
      <c r="H40" s="14" t="s">
        <v>823</v>
      </c>
      <c r="I40" s="3">
        <v>6</v>
      </c>
      <c r="J40" s="16">
        <f>JG</f>
        <v>6</v>
      </c>
      <c r="K40" s="13">
        <v>20</v>
      </c>
      <c r="L40" s="16">
        <f t="shared" si="1"/>
        <v>120</v>
      </c>
      <c r="M40" s="17">
        <v>17.2</v>
      </c>
      <c r="N40" s="18">
        <f t="shared" si="2"/>
        <v>2.0640000000000001</v>
      </c>
      <c r="O40" s="17">
        <v>0.53800000000000003</v>
      </c>
      <c r="P40" s="18">
        <f t="shared" si="3"/>
        <v>64.56</v>
      </c>
    </row>
    <row r="41" spans="1:17" ht="24">
      <c r="A41" s="12">
        <v>40</v>
      </c>
      <c r="B41" s="2" t="s">
        <v>720</v>
      </c>
      <c r="C41" s="2" t="s">
        <v>721</v>
      </c>
      <c r="D41" s="1" t="s">
        <v>596</v>
      </c>
      <c r="E41" s="13" t="s">
        <v>840</v>
      </c>
      <c r="F41" s="2" t="s">
        <v>725</v>
      </c>
      <c r="G41" s="12" t="s">
        <v>824</v>
      </c>
      <c r="H41" s="14" t="s">
        <v>823</v>
      </c>
      <c r="I41" s="3">
        <v>0.7</v>
      </c>
      <c r="J41" s="16">
        <f>JG</f>
        <v>0.7</v>
      </c>
      <c r="K41" s="13">
        <v>10</v>
      </c>
      <c r="L41" s="16">
        <f t="shared" si="1"/>
        <v>7</v>
      </c>
      <c r="M41" s="17">
        <v>14.5</v>
      </c>
      <c r="N41" s="18">
        <f t="shared" si="2"/>
        <v>0.10150000000000001</v>
      </c>
      <c r="O41" s="17">
        <v>0.48</v>
      </c>
      <c r="P41" s="18">
        <f t="shared" si="3"/>
        <v>3.36</v>
      </c>
    </row>
    <row r="42" spans="1:17">
      <c r="A42" s="13" t="s">
        <v>726</v>
      </c>
      <c r="N42" s="19">
        <f>SUBTOTAL(109,N2:N41)</f>
        <v>73.291285185188926</v>
      </c>
      <c r="P42" s="19">
        <f>SUBTOTAL(109,P2:P41)</f>
        <v>1733.4027529014249</v>
      </c>
    </row>
    <row r="47" spans="1:17">
      <c r="M47" s="16"/>
      <c r="O47" s="16"/>
    </row>
  </sheetData>
  <autoFilter ref="A1:Q41">
    <sortState ref="A6:R604">
      <sortCondition ref="A6:A604"/>
    </sortState>
  </autoFilter>
  <sortState ref="A2:Q42">
    <sortCondition ref="A2:A42"/>
  </sortState>
  <phoneticPr fontId="2" type="noConversion"/>
  <conditionalFormatting sqref="A1:Q1048576">
    <cfRule type="expression" dxfId="3" priority="1">
      <formula>($A1="序号")+($A1="汇总")</formula>
    </cfRule>
    <cfRule type="expression" dxfId="2" priority="2">
      <formula>($A1&amp;$B1&amp;$C1&amp;$D1&amp;$E1&amp;$F1&amp;$G1&amp;$H1&amp;$I1&amp;$J1&amp;$K1&amp;$L1&amp;$M1&amp;$N1&amp;$O1&amp;$P1&amp;$Q1&lt;&gt;"")</formula>
    </cfRule>
  </conditionalFormatting>
  <printOptions horizontalCentered="1"/>
  <pageMargins left="0.51181102362204722" right="0.51181102362204722" top="0.59055118110236227" bottom="0.39370078740157483" header="0.31496062992125984" footer="0.31496062992125984"/>
  <pageSetup paperSize="9" scale="83" fitToHeight="0" orientation="landscape" r:id="rId1"/>
  <headerFooter alignWithMargins="0">
    <oddFooter>&amp;C第 &amp;P 页，共 &amp;N 页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Q200"/>
  <sheetViews>
    <sheetView zoomScaleNormal="100" workbookViewId="0">
      <pane ySplit="1" topLeftCell="A188" activePane="bottomLeft" state="frozen"/>
      <selection activeCell="A36" sqref="A36"/>
      <selection pane="bottomLeft" activeCell="P200" sqref="P200"/>
    </sheetView>
  </sheetViews>
  <sheetFormatPr defaultColWidth="9" defaultRowHeight="12"/>
  <cols>
    <col min="1" max="1" width="4.375" style="13" customWidth="1"/>
    <col min="2" max="2" width="9" style="2" customWidth="1"/>
    <col min="3" max="3" width="13.625" style="2" customWidth="1"/>
    <col min="4" max="4" width="10.5" style="1" customWidth="1"/>
    <col min="5" max="5" width="12.5" style="13" customWidth="1"/>
    <col min="6" max="6" width="15.625" style="2" customWidth="1"/>
    <col min="7" max="7" width="7.5" style="13" customWidth="1"/>
    <col min="8" max="8" width="6.125" style="13" customWidth="1"/>
    <col min="9" max="9" width="18.5" style="3" customWidth="1"/>
    <col min="10" max="10" width="9.625" style="17" customWidth="1"/>
    <col min="11" max="11" width="7.5" style="13" customWidth="1"/>
    <col min="12" max="12" width="9" style="17"/>
    <col min="13" max="13" width="9.375" style="17" customWidth="1"/>
    <col min="14" max="14" width="8.625" style="19" customWidth="1"/>
    <col min="15" max="15" width="8.625" style="17" customWidth="1"/>
    <col min="16" max="16" width="9.5" style="19" bestFit="1" customWidth="1"/>
    <col min="17" max="17" width="9.125" style="13" customWidth="1"/>
    <col min="18" max="16384" width="9" style="13"/>
  </cols>
  <sheetData>
    <row r="1" spans="1:17" s="1" customFormat="1" ht="24">
      <c r="A1" s="4" t="s">
        <v>0</v>
      </c>
      <c r="B1" s="5" t="s">
        <v>1</v>
      </c>
      <c r="C1" s="5" t="s">
        <v>2</v>
      </c>
      <c r="D1" s="4" t="s">
        <v>3</v>
      </c>
      <c r="E1" s="4" t="s">
        <v>4</v>
      </c>
      <c r="F1" s="5" t="s">
        <v>5</v>
      </c>
      <c r="G1" s="4" t="s">
        <v>6</v>
      </c>
      <c r="H1" s="4" t="s">
        <v>7</v>
      </c>
      <c r="I1" s="5" t="s">
        <v>8</v>
      </c>
      <c r="J1" s="9" t="s">
        <v>9</v>
      </c>
      <c r="K1" s="4" t="s">
        <v>10</v>
      </c>
      <c r="L1" s="9" t="s">
        <v>11</v>
      </c>
      <c r="M1" s="9" t="s">
        <v>12</v>
      </c>
      <c r="N1" s="10" t="s">
        <v>13</v>
      </c>
      <c r="O1" s="9" t="s">
        <v>14</v>
      </c>
      <c r="P1" s="10" t="s">
        <v>15</v>
      </c>
      <c r="Q1" s="4" t="s">
        <v>16</v>
      </c>
    </row>
    <row r="2" spans="1:17" ht="24">
      <c r="A2" s="12">
        <v>1</v>
      </c>
      <c r="B2" s="20" t="s">
        <v>741</v>
      </c>
      <c r="C2" s="5" t="s">
        <v>732</v>
      </c>
      <c r="D2" s="1" t="s">
        <v>975</v>
      </c>
      <c r="E2" s="13" t="s">
        <v>971</v>
      </c>
      <c r="F2" s="7" t="s">
        <v>727</v>
      </c>
      <c r="G2" s="12" t="s">
        <v>822</v>
      </c>
      <c r="H2" s="14" t="s">
        <v>823</v>
      </c>
      <c r="I2" s="3" t="s">
        <v>1037</v>
      </c>
      <c r="J2" s="16">
        <f>JG</f>
        <v>5.2699999999999969</v>
      </c>
      <c r="K2" s="13">
        <v>2</v>
      </c>
      <c r="L2" s="16">
        <f>J2*K2</f>
        <v>10.539999999999994</v>
      </c>
      <c r="M2" s="16">
        <v>49.9</v>
      </c>
      <c r="N2" s="18">
        <f>L2*M2*0.001</f>
        <v>0.52594599999999969</v>
      </c>
      <c r="O2" s="16">
        <v>1.1599999999999999</v>
      </c>
      <c r="P2" s="18">
        <f>O2*L2</f>
        <v>12.226399999999993</v>
      </c>
    </row>
    <row r="3" spans="1:17" ht="24">
      <c r="A3" s="12">
        <v>2</v>
      </c>
      <c r="B3" s="20" t="s">
        <v>741</v>
      </c>
      <c r="C3" s="5" t="s">
        <v>731</v>
      </c>
      <c r="D3" s="1" t="s">
        <v>909</v>
      </c>
      <c r="E3" s="13" t="s">
        <v>974</v>
      </c>
      <c r="F3" s="7" t="s">
        <v>1077</v>
      </c>
      <c r="G3" s="12" t="s">
        <v>969</v>
      </c>
      <c r="H3" s="14" t="s">
        <v>970</v>
      </c>
      <c r="I3" s="3">
        <v>1</v>
      </c>
      <c r="J3" s="16">
        <f>JG</f>
        <v>1</v>
      </c>
      <c r="K3" s="13">
        <v>2</v>
      </c>
      <c r="L3" s="16">
        <f t="shared" ref="L3:L5" si="0">J3*K3</f>
        <v>2</v>
      </c>
      <c r="M3" s="16">
        <f>0.48*0.4*0.03*7850</f>
        <v>45.215999999999994</v>
      </c>
      <c r="N3" s="18">
        <f t="shared" ref="N3:N5" si="1">L3*M3*0.001</f>
        <v>9.0431999999999985E-2</v>
      </c>
      <c r="O3" s="16">
        <f>0.48*0.4</f>
        <v>0.192</v>
      </c>
      <c r="P3" s="18">
        <f t="shared" ref="P3:P5" si="2">O3*L3</f>
        <v>0.38400000000000001</v>
      </c>
    </row>
    <row r="4" spans="1:17" ht="24">
      <c r="A4" s="12">
        <v>3</v>
      </c>
      <c r="B4" s="20" t="s">
        <v>741</v>
      </c>
      <c r="C4" s="5" t="s">
        <v>731</v>
      </c>
      <c r="D4" s="1" t="s">
        <v>909</v>
      </c>
      <c r="E4" s="13" t="s">
        <v>974</v>
      </c>
      <c r="F4" s="7" t="s">
        <v>712</v>
      </c>
      <c r="G4" s="12" t="s">
        <v>969</v>
      </c>
      <c r="H4" s="14" t="s">
        <v>970</v>
      </c>
      <c r="I4" s="3">
        <v>4</v>
      </c>
      <c r="J4" s="16">
        <f>JG</f>
        <v>4</v>
      </c>
      <c r="K4" s="13">
        <v>2</v>
      </c>
      <c r="L4" s="16">
        <f t="shared" si="0"/>
        <v>8</v>
      </c>
      <c r="M4" s="16"/>
      <c r="N4" s="18">
        <f t="shared" si="1"/>
        <v>0</v>
      </c>
      <c r="O4" s="16"/>
      <c r="P4" s="18">
        <f t="shared" si="2"/>
        <v>0</v>
      </c>
    </row>
    <row r="5" spans="1:17" ht="24">
      <c r="A5" s="12">
        <v>4</v>
      </c>
      <c r="B5" s="20" t="s">
        <v>741</v>
      </c>
      <c r="C5" s="5" t="s">
        <v>731</v>
      </c>
      <c r="D5" s="1" t="s">
        <v>909</v>
      </c>
      <c r="E5" s="13" t="s">
        <v>974</v>
      </c>
      <c r="F5" s="7" t="s">
        <v>712</v>
      </c>
      <c r="G5" s="12" t="s">
        <v>969</v>
      </c>
      <c r="H5" s="14" t="s">
        <v>970</v>
      </c>
      <c r="I5" s="3">
        <v>6</v>
      </c>
      <c r="J5" s="16">
        <f>JG</f>
        <v>6</v>
      </c>
      <c r="K5" s="13">
        <v>2</v>
      </c>
      <c r="L5" s="16">
        <f t="shared" si="0"/>
        <v>12</v>
      </c>
      <c r="M5" s="16"/>
      <c r="N5" s="18">
        <f t="shared" si="1"/>
        <v>0</v>
      </c>
      <c r="O5" s="16"/>
      <c r="P5" s="18">
        <f t="shared" si="2"/>
        <v>0</v>
      </c>
    </row>
    <row r="6" spans="1:17" ht="24">
      <c r="A6" s="12">
        <v>5</v>
      </c>
      <c r="B6" s="20" t="s">
        <v>742</v>
      </c>
      <c r="C6" s="5" t="s">
        <v>731</v>
      </c>
      <c r="D6" s="1" t="s">
        <v>976</v>
      </c>
      <c r="E6" s="13" t="s">
        <v>971</v>
      </c>
      <c r="F6" s="2" t="s">
        <v>28</v>
      </c>
      <c r="G6" s="12" t="s">
        <v>822</v>
      </c>
      <c r="H6" s="14" t="s">
        <v>823</v>
      </c>
      <c r="I6" s="3" t="s">
        <v>1038</v>
      </c>
      <c r="J6" s="16">
        <f>JG</f>
        <v>5.2699999999999969</v>
      </c>
      <c r="K6" s="13">
        <v>20</v>
      </c>
      <c r="L6" s="16">
        <f>J6*K6</f>
        <v>105.39999999999993</v>
      </c>
      <c r="M6" s="16">
        <v>78.099999999999994</v>
      </c>
      <c r="N6" s="18">
        <f>L6*M6*0.001</f>
        <v>8.231739999999995</v>
      </c>
      <c r="O6" s="16">
        <v>1.64</v>
      </c>
      <c r="P6" s="18">
        <f>O6*L6</f>
        <v>172.85599999999988</v>
      </c>
    </row>
    <row r="7" spans="1:17" ht="24">
      <c r="A7" s="12">
        <v>6</v>
      </c>
      <c r="B7" s="20" t="s">
        <v>741</v>
      </c>
      <c r="C7" s="5" t="s">
        <v>731</v>
      </c>
      <c r="D7" s="6" t="s">
        <v>909</v>
      </c>
      <c r="E7" s="14" t="s">
        <v>974</v>
      </c>
      <c r="F7" s="7" t="s">
        <v>1070</v>
      </c>
      <c r="G7" s="12" t="s">
        <v>969</v>
      </c>
      <c r="H7" s="14" t="s">
        <v>970</v>
      </c>
      <c r="I7" s="8">
        <v>1</v>
      </c>
      <c r="J7" s="16">
        <f>JG</f>
        <v>1</v>
      </c>
      <c r="K7" s="13">
        <v>20</v>
      </c>
      <c r="L7" s="16">
        <f t="shared" ref="L7:L10" si="3">J7*K7</f>
        <v>20</v>
      </c>
      <c r="M7" s="16">
        <f>0.62*0.57*0.03*7850</f>
        <v>83.225699999999989</v>
      </c>
      <c r="N7" s="18">
        <f t="shared" ref="N7:N10" si="4">L7*M7*0.001</f>
        <v>1.6645139999999996</v>
      </c>
      <c r="O7" s="16">
        <f>0.62*0.57</f>
        <v>0.35339999999999999</v>
      </c>
      <c r="P7" s="18">
        <f t="shared" ref="P7:P10" si="5">O7*L7</f>
        <v>7.0679999999999996</v>
      </c>
    </row>
    <row r="8" spans="1:17" ht="24">
      <c r="A8" s="12">
        <v>7</v>
      </c>
      <c r="B8" s="20" t="s">
        <v>741</v>
      </c>
      <c r="C8" s="5" t="s">
        <v>731</v>
      </c>
      <c r="D8" s="6" t="s">
        <v>909</v>
      </c>
      <c r="E8" s="14" t="s">
        <v>974</v>
      </c>
      <c r="F8" s="7" t="s">
        <v>712</v>
      </c>
      <c r="G8" s="12" t="s">
        <v>969</v>
      </c>
      <c r="H8" s="14" t="s">
        <v>970</v>
      </c>
      <c r="I8" s="8">
        <v>2</v>
      </c>
      <c r="J8" s="16">
        <f>JG</f>
        <v>2</v>
      </c>
      <c r="K8" s="13">
        <v>20</v>
      </c>
      <c r="L8" s="16">
        <f t="shared" si="3"/>
        <v>40</v>
      </c>
      <c r="M8" s="16"/>
      <c r="N8" s="18">
        <f t="shared" si="4"/>
        <v>0</v>
      </c>
      <c r="O8" s="16"/>
      <c r="P8" s="18">
        <f t="shared" si="5"/>
        <v>0</v>
      </c>
    </row>
    <row r="9" spans="1:17" ht="24">
      <c r="A9" s="12">
        <v>8</v>
      </c>
      <c r="B9" s="20" t="s">
        <v>741</v>
      </c>
      <c r="C9" s="5" t="s">
        <v>731</v>
      </c>
      <c r="D9" s="6" t="s">
        <v>909</v>
      </c>
      <c r="E9" s="14" t="s">
        <v>974</v>
      </c>
      <c r="F9" s="7" t="s">
        <v>712</v>
      </c>
      <c r="G9" s="12" t="s">
        <v>969</v>
      </c>
      <c r="H9" s="14" t="s">
        <v>970</v>
      </c>
      <c r="I9" s="8">
        <v>4</v>
      </c>
      <c r="J9" s="16">
        <f>JG</f>
        <v>4</v>
      </c>
      <c r="K9" s="13">
        <v>20</v>
      </c>
      <c r="L9" s="16">
        <f t="shared" si="3"/>
        <v>80</v>
      </c>
      <c r="M9" s="16"/>
      <c r="N9" s="18">
        <f t="shared" si="4"/>
        <v>0</v>
      </c>
      <c r="O9" s="16"/>
      <c r="P9" s="18">
        <f t="shared" si="5"/>
        <v>0</v>
      </c>
    </row>
    <row r="10" spans="1:17" ht="24">
      <c r="A10" s="12">
        <v>9</v>
      </c>
      <c r="B10" s="20" t="s">
        <v>741</v>
      </c>
      <c r="C10" s="5" t="s">
        <v>731</v>
      </c>
      <c r="D10" s="6" t="s">
        <v>909</v>
      </c>
      <c r="E10" s="14" t="s">
        <v>974</v>
      </c>
      <c r="F10" s="7" t="s">
        <v>712</v>
      </c>
      <c r="G10" s="12" t="s">
        <v>969</v>
      </c>
      <c r="H10" s="14" t="s">
        <v>970</v>
      </c>
      <c r="I10" s="8">
        <v>8</v>
      </c>
      <c r="J10" s="16">
        <f>JG</f>
        <v>8</v>
      </c>
      <c r="K10" s="13">
        <v>20</v>
      </c>
      <c r="L10" s="16">
        <f t="shared" si="3"/>
        <v>160</v>
      </c>
      <c r="M10" s="16"/>
      <c r="N10" s="18">
        <f t="shared" si="4"/>
        <v>0</v>
      </c>
      <c r="O10" s="16"/>
      <c r="P10" s="18">
        <f t="shared" si="5"/>
        <v>0</v>
      </c>
    </row>
    <row r="11" spans="1:17" ht="36">
      <c r="A11" s="12">
        <v>10</v>
      </c>
      <c r="B11" s="2" t="s">
        <v>744</v>
      </c>
      <c r="C11" s="2" t="s">
        <v>728</v>
      </c>
      <c r="D11" s="1" t="s">
        <v>511</v>
      </c>
      <c r="E11" s="13" t="s">
        <v>971</v>
      </c>
      <c r="F11" s="2" t="s">
        <v>277</v>
      </c>
      <c r="G11" s="12" t="s">
        <v>822</v>
      </c>
      <c r="H11" s="14" t="s">
        <v>823</v>
      </c>
      <c r="I11" s="3" t="s">
        <v>729</v>
      </c>
      <c r="J11" s="16">
        <f>JG</f>
        <v>2.33</v>
      </c>
      <c r="K11" s="13">
        <v>2</v>
      </c>
      <c r="L11" s="16">
        <f t="shared" ref="L11:L46" si="6">J11*K11</f>
        <v>4.66</v>
      </c>
      <c r="M11" s="16">
        <v>43.6</v>
      </c>
      <c r="N11" s="18">
        <f t="shared" ref="N11:N46" si="7">L11*M11*0.001</f>
        <v>0.20317600000000002</v>
      </c>
      <c r="O11" s="16">
        <v>1.1499999999999999</v>
      </c>
      <c r="P11" s="18">
        <f t="shared" ref="P11:P46" si="8">O11*L11</f>
        <v>5.359</v>
      </c>
    </row>
    <row r="12" spans="1:17" ht="36">
      <c r="A12" s="12">
        <v>11</v>
      </c>
      <c r="B12" s="2" t="s">
        <v>270</v>
      </c>
      <c r="C12" s="2" t="s">
        <v>730</v>
      </c>
      <c r="D12" s="1" t="s">
        <v>977</v>
      </c>
      <c r="E12" s="13" t="s">
        <v>971</v>
      </c>
      <c r="F12" s="2" t="s">
        <v>65</v>
      </c>
      <c r="G12" s="12" t="s">
        <v>822</v>
      </c>
      <c r="H12" s="14" t="s">
        <v>823</v>
      </c>
      <c r="I12" s="3" t="s">
        <v>733</v>
      </c>
      <c r="J12" s="16">
        <f>JG</f>
        <v>74</v>
      </c>
      <c r="K12" s="13">
        <v>1</v>
      </c>
      <c r="L12" s="16">
        <f t="shared" si="6"/>
        <v>74</v>
      </c>
      <c r="M12" s="16">
        <v>55.8</v>
      </c>
      <c r="N12" s="18">
        <f t="shared" si="7"/>
        <v>4.1292</v>
      </c>
      <c r="O12" s="16">
        <v>1.35</v>
      </c>
      <c r="P12" s="18">
        <f t="shared" si="8"/>
        <v>99.9</v>
      </c>
    </row>
    <row r="13" spans="1:17" ht="36">
      <c r="A13" s="12">
        <v>12</v>
      </c>
      <c r="B13" s="2" t="s">
        <v>745</v>
      </c>
      <c r="C13" s="2" t="s">
        <v>730</v>
      </c>
      <c r="D13" s="1" t="s">
        <v>918</v>
      </c>
      <c r="E13" s="13" t="s">
        <v>971</v>
      </c>
      <c r="F13" s="2" t="s">
        <v>65</v>
      </c>
      <c r="G13" s="12" t="s">
        <v>822</v>
      </c>
      <c r="H13" s="14" t="s">
        <v>823</v>
      </c>
      <c r="I13" s="3" t="s">
        <v>734</v>
      </c>
      <c r="J13" s="16">
        <f>JG</f>
        <v>37.959999999999994</v>
      </c>
      <c r="K13" s="13">
        <v>1</v>
      </c>
      <c r="L13" s="16">
        <f t="shared" si="6"/>
        <v>37.959999999999994</v>
      </c>
      <c r="M13" s="16">
        <v>55.8</v>
      </c>
      <c r="N13" s="18">
        <f t="shared" si="7"/>
        <v>2.1181679999999998</v>
      </c>
      <c r="O13" s="16">
        <v>1.35</v>
      </c>
      <c r="P13" s="18">
        <f t="shared" si="8"/>
        <v>51.245999999999995</v>
      </c>
    </row>
    <row r="14" spans="1:17" ht="36">
      <c r="A14" s="12">
        <v>13</v>
      </c>
      <c r="B14" s="2" t="s">
        <v>745</v>
      </c>
      <c r="C14" s="2" t="s">
        <v>730</v>
      </c>
      <c r="D14" s="1" t="s">
        <v>978</v>
      </c>
      <c r="E14" s="13" t="s">
        <v>971</v>
      </c>
      <c r="F14" s="2" t="s">
        <v>65</v>
      </c>
      <c r="G14" s="12" t="s">
        <v>822</v>
      </c>
      <c r="H14" s="14" t="s">
        <v>823</v>
      </c>
      <c r="I14" s="3" t="s">
        <v>735</v>
      </c>
      <c r="J14" s="16">
        <f>JG</f>
        <v>6.8</v>
      </c>
      <c r="K14" s="13">
        <v>6</v>
      </c>
      <c r="L14" s="16">
        <f t="shared" si="6"/>
        <v>40.799999999999997</v>
      </c>
      <c r="M14" s="16">
        <v>55.8</v>
      </c>
      <c r="N14" s="18">
        <f t="shared" si="7"/>
        <v>2.27664</v>
      </c>
      <c r="O14" s="16">
        <v>1.35</v>
      </c>
      <c r="P14" s="18">
        <f t="shared" si="8"/>
        <v>55.08</v>
      </c>
    </row>
    <row r="15" spans="1:17" ht="36">
      <c r="A15" s="12">
        <v>14</v>
      </c>
      <c r="B15" s="2" t="s">
        <v>745</v>
      </c>
      <c r="C15" s="2" t="s">
        <v>730</v>
      </c>
      <c r="D15" s="1" t="s">
        <v>400</v>
      </c>
      <c r="E15" s="13" t="s">
        <v>974</v>
      </c>
      <c r="F15" s="2" t="s">
        <v>736</v>
      </c>
      <c r="G15" s="12" t="s">
        <v>822</v>
      </c>
      <c r="H15" s="14" t="s">
        <v>823</v>
      </c>
      <c r="I15" s="3" t="s">
        <v>737</v>
      </c>
      <c r="J15" s="16">
        <f>JG</f>
        <v>24</v>
      </c>
      <c r="K15" s="13">
        <v>1</v>
      </c>
      <c r="L15" s="16">
        <f t="shared" si="6"/>
        <v>24</v>
      </c>
      <c r="M15" s="16">
        <f>0.096*0.27*0.008*7850</f>
        <v>1.6277760000000001</v>
      </c>
      <c r="N15" s="18">
        <f t="shared" si="7"/>
        <v>3.9066624000000008E-2</v>
      </c>
      <c r="O15" s="16">
        <f>0.096*2*0.27</f>
        <v>5.1840000000000004E-2</v>
      </c>
      <c r="P15" s="18">
        <f t="shared" si="8"/>
        <v>1.2441600000000002</v>
      </c>
    </row>
    <row r="16" spans="1:17" ht="48">
      <c r="A16" s="12">
        <v>15</v>
      </c>
      <c r="B16" s="2" t="s">
        <v>745</v>
      </c>
      <c r="C16" s="2" t="s">
        <v>730</v>
      </c>
      <c r="D16" s="1" t="s">
        <v>738</v>
      </c>
      <c r="E16" s="13" t="s">
        <v>971</v>
      </c>
      <c r="F16" s="2" t="s">
        <v>237</v>
      </c>
      <c r="G16" s="12" t="s">
        <v>822</v>
      </c>
      <c r="H16" s="14" t="s">
        <v>823</v>
      </c>
      <c r="I16" s="3" t="s">
        <v>740</v>
      </c>
      <c r="J16" s="16">
        <f>JG</f>
        <v>45.275000000000006</v>
      </c>
      <c r="K16" s="13">
        <v>1</v>
      </c>
      <c r="L16" s="16">
        <f t="shared" si="6"/>
        <v>45.275000000000006</v>
      </c>
      <c r="M16" s="16">
        <v>14</v>
      </c>
      <c r="N16" s="18">
        <f t="shared" si="7"/>
        <v>0.63385000000000014</v>
      </c>
      <c r="O16" s="16">
        <v>0.57599999999999996</v>
      </c>
      <c r="P16" s="18">
        <f t="shared" si="8"/>
        <v>26.078400000000002</v>
      </c>
    </row>
    <row r="17" spans="1:16" ht="36">
      <c r="A17" s="12">
        <v>16</v>
      </c>
      <c r="B17" s="2" t="s">
        <v>745</v>
      </c>
      <c r="C17" s="2" t="s">
        <v>730</v>
      </c>
      <c r="D17" s="1" t="s">
        <v>400</v>
      </c>
      <c r="E17" s="13" t="s">
        <v>974</v>
      </c>
      <c r="F17" s="2" t="s">
        <v>746</v>
      </c>
      <c r="G17" s="12" t="s">
        <v>822</v>
      </c>
      <c r="H17" s="14" t="s">
        <v>823</v>
      </c>
      <c r="I17" s="3" t="s">
        <v>747</v>
      </c>
      <c r="J17" s="16">
        <f>JG</f>
        <v>16</v>
      </c>
      <c r="K17" s="13">
        <v>1</v>
      </c>
      <c r="L17" s="16">
        <f t="shared" si="6"/>
        <v>16</v>
      </c>
      <c r="M17" s="16">
        <f>0.096*0.374*0.005*7850</f>
        <v>1.4092319999999998</v>
      </c>
      <c r="N17" s="18">
        <f t="shared" si="7"/>
        <v>2.2547711999999998E-2</v>
      </c>
      <c r="O17" s="16">
        <f>0.096*2*0.374</f>
        <v>7.1807999999999997E-2</v>
      </c>
      <c r="P17" s="18">
        <f t="shared" si="8"/>
        <v>1.1489279999999999</v>
      </c>
    </row>
    <row r="18" spans="1:16" ht="36">
      <c r="A18" s="12">
        <v>17</v>
      </c>
      <c r="B18" s="2" t="s">
        <v>745</v>
      </c>
      <c r="C18" s="2" t="s">
        <v>730</v>
      </c>
      <c r="D18" s="1" t="s">
        <v>400</v>
      </c>
      <c r="E18" s="13" t="s">
        <v>974</v>
      </c>
      <c r="F18" s="2" t="s">
        <v>748</v>
      </c>
      <c r="G18" s="12" t="s">
        <v>822</v>
      </c>
      <c r="H18" s="14" t="s">
        <v>823</v>
      </c>
      <c r="I18" s="3" t="s">
        <v>240</v>
      </c>
      <c r="J18" s="16">
        <f>JG</f>
        <v>4</v>
      </c>
      <c r="K18" s="13">
        <v>1</v>
      </c>
      <c r="L18" s="16">
        <f t="shared" si="6"/>
        <v>4</v>
      </c>
      <c r="M18" s="16">
        <f>0.059*0.232*0.005*7850</f>
        <v>0.53725400000000001</v>
      </c>
      <c r="N18" s="18">
        <f t="shared" si="7"/>
        <v>2.1490160000000001E-3</v>
      </c>
      <c r="O18" s="16">
        <f>0.059*2*0.232</f>
        <v>2.7376000000000001E-2</v>
      </c>
      <c r="P18" s="18">
        <f t="shared" si="8"/>
        <v>0.109504</v>
      </c>
    </row>
    <row r="19" spans="1:16" ht="36">
      <c r="A19" s="12">
        <v>18</v>
      </c>
      <c r="B19" s="2" t="s">
        <v>745</v>
      </c>
      <c r="C19" s="2" t="s">
        <v>730</v>
      </c>
      <c r="D19" s="1" t="s">
        <v>400</v>
      </c>
      <c r="E19" s="13" t="s">
        <v>974</v>
      </c>
      <c r="F19" s="2" t="s">
        <v>749</v>
      </c>
      <c r="G19" s="12" t="s">
        <v>822</v>
      </c>
      <c r="H19" s="14" t="s">
        <v>823</v>
      </c>
      <c r="I19" s="3" t="s">
        <v>382</v>
      </c>
      <c r="J19" s="16">
        <f>JG</f>
        <v>22</v>
      </c>
      <c r="K19" s="13">
        <v>1</v>
      </c>
      <c r="L19" s="16">
        <f t="shared" si="6"/>
        <v>22</v>
      </c>
      <c r="M19" s="16">
        <f>0.096*0.27*0.005*7850</f>
        <v>1.01736</v>
      </c>
      <c r="N19" s="18">
        <f t="shared" si="7"/>
        <v>2.2381920000000003E-2</v>
      </c>
      <c r="O19" s="16">
        <f>0.096*2*0.27</f>
        <v>5.1840000000000004E-2</v>
      </c>
      <c r="P19" s="18">
        <f t="shared" si="8"/>
        <v>1.1404800000000002</v>
      </c>
    </row>
    <row r="20" spans="1:16" ht="48">
      <c r="A20" s="12">
        <v>19</v>
      </c>
      <c r="B20" s="2" t="s">
        <v>745</v>
      </c>
      <c r="C20" s="2" t="s">
        <v>730</v>
      </c>
      <c r="D20" s="1" t="s">
        <v>412</v>
      </c>
      <c r="E20" s="13" t="s">
        <v>971</v>
      </c>
      <c r="F20" s="2" t="s">
        <v>29</v>
      </c>
      <c r="G20" s="12" t="s">
        <v>822</v>
      </c>
      <c r="H20" s="14" t="s">
        <v>823</v>
      </c>
      <c r="I20" s="3" t="s">
        <v>750</v>
      </c>
      <c r="J20" s="16">
        <f>JG</f>
        <v>19.637499999999999</v>
      </c>
      <c r="K20" s="13">
        <v>1</v>
      </c>
      <c r="L20" s="16">
        <f t="shared" si="6"/>
        <v>19.637499999999999</v>
      </c>
      <c r="M20" s="16">
        <v>20.9</v>
      </c>
      <c r="N20" s="18">
        <f t="shared" si="7"/>
        <v>0.41042374999999998</v>
      </c>
      <c r="O20" s="16">
        <v>0.77500000000000002</v>
      </c>
      <c r="P20" s="18">
        <f t="shared" si="8"/>
        <v>15.2190625</v>
      </c>
    </row>
    <row r="21" spans="1:16" ht="36">
      <c r="A21" s="12">
        <v>20</v>
      </c>
      <c r="B21" s="2" t="s">
        <v>745</v>
      </c>
      <c r="C21" s="2" t="s">
        <v>730</v>
      </c>
      <c r="D21" s="1" t="s">
        <v>400</v>
      </c>
      <c r="E21" s="13" t="s">
        <v>974</v>
      </c>
      <c r="F21" s="2" t="s">
        <v>551</v>
      </c>
      <c r="G21" s="12" t="s">
        <v>822</v>
      </c>
      <c r="H21" s="14" t="s">
        <v>823</v>
      </c>
      <c r="I21" s="3" t="s">
        <v>751</v>
      </c>
      <c r="J21" s="16">
        <f>JG</f>
        <v>22</v>
      </c>
      <c r="K21" s="13">
        <v>1</v>
      </c>
      <c r="L21" s="16">
        <f t="shared" si="6"/>
        <v>22</v>
      </c>
      <c r="M21" s="16">
        <f>0.096*0.374*0.0055*7850</f>
        <v>1.5501551999999998</v>
      </c>
      <c r="N21" s="18">
        <f t="shared" si="7"/>
        <v>3.4103414399999997E-2</v>
      </c>
      <c r="O21" s="16">
        <f>0.096*2*0.374</f>
        <v>7.1807999999999997E-2</v>
      </c>
      <c r="P21" s="18">
        <f t="shared" si="8"/>
        <v>1.5797759999999998</v>
      </c>
    </row>
    <row r="22" spans="1:16" ht="36">
      <c r="A22" s="12">
        <v>21</v>
      </c>
      <c r="B22" s="2" t="s">
        <v>745</v>
      </c>
      <c r="C22" s="2" t="s">
        <v>730</v>
      </c>
      <c r="D22" s="1" t="s">
        <v>400</v>
      </c>
      <c r="E22" s="13" t="s">
        <v>974</v>
      </c>
      <c r="F22" s="2" t="s">
        <v>552</v>
      </c>
      <c r="G22" s="12" t="s">
        <v>822</v>
      </c>
      <c r="H22" s="14" t="s">
        <v>823</v>
      </c>
      <c r="I22" s="3">
        <v>2</v>
      </c>
      <c r="J22" s="16">
        <f>JG</f>
        <v>2</v>
      </c>
      <c r="K22" s="13">
        <v>1</v>
      </c>
      <c r="L22" s="16">
        <f t="shared" si="6"/>
        <v>2</v>
      </c>
      <c r="M22" s="16">
        <f>0.059*0.232*0.0055*7850</f>
        <v>0.59097939999999993</v>
      </c>
      <c r="N22" s="18">
        <f t="shared" si="7"/>
        <v>1.1819587999999999E-3</v>
      </c>
      <c r="O22" s="16">
        <f>0.059*2*0.232</f>
        <v>2.7376000000000001E-2</v>
      </c>
      <c r="P22" s="18">
        <f t="shared" si="8"/>
        <v>5.4752000000000002E-2</v>
      </c>
    </row>
    <row r="23" spans="1:16" ht="36">
      <c r="A23" s="12">
        <v>22</v>
      </c>
      <c r="B23" s="2" t="s">
        <v>745</v>
      </c>
      <c r="C23" s="2" t="s">
        <v>730</v>
      </c>
      <c r="D23" s="1" t="s">
        <v>400</v>
      </c>
      <c r="E23" s="13" t="s">
        <v>974</v>
      </c>
      <c r="F23" s="2" t="s">
        <v>752</v>
      </c>
      <c r="G23" s="12" t="s">
        <v>822</v>
      </c>
      <c r="H23" s="14" t="s">
        <v>823</v>
      </c>
      <c r="I23" s="3">
        <v>2</v>
      </c>
      <c r="J23" s="16">
        <f>JG</f>
        <v>2</v>
      </c>
      <c r="K23" s="13">
        <v>1</v>
      </c>
      <c r="L23" s="16">
        <f t="shared" si="6"/>
        <v>2</v>
      </c>
      <c r="M23" s="16">
        <f>0.096*0.27*0.0055*7850</f>
        <v>1.1190959999999999</v>
      </c>
      <c r="N23" s="18">
        <f t="shared" si="7"/>
        <v>2.238192E-3</v>
      </c>
      <c r="O23" s="16">
        <f>0.096*2*0.27</f>
        <v>5.1840000000000004E-2</v>
      </c>
      <c r="P23" s="18">
        <f t="shared" si="8"/>
        <v>0.10368000000000001</v>
      </c>
    </row>
    <row r="24" spans="1:16" ht="36">
      <c r="A24" s="12">
        <v>23</v>
      </c>
      <c r="B24" s="2" t="s">
        <v>745</v>
      </c>
      <c r="C24" s="2" t="s">
        <v>730</v>
      </c>
      <c r="D24" s="1" t="s">
        <v>979</v>
      </c>
      <c r="E24" s="13" t="s">
        <v>971</v>
      </c>
      <c r="F24" s="2" t="s">
        <v>30</v>
      </c>
      <c r="G24" s="12" t="s">
        <v>822</v>
      </c>
      <c r="H24" s="14" t="s">
        <v>823</v>
      </c>
      <c r="I24" s="3" t="s">
        <v>753</v>
      </c>
      <c r="J24" s="16">
        <f>JG</f>
        <v>1.03</v>
      </c>
      <c r="K24" s="13">
        <v>2</v>
      </c>
      <c r="L24" s="16">
        <f t="shared" si="6"/>
        <v>2.06</v>
      </c>
      <c r="M24" s="16">
        <v>29</v>
      </c>
      <c r="N24" s="18">
        <f t="shared" si="7"/>
        <v>5.9740000000000001E-2</v>
      </c>
      <c r="O24" s="16">
        <v>0.97399999999999998</v>
      </c>
      <c r="P24" s="18">
        <f t="shared" si="8"/>
        <v>2.00644</v>
      </c>
    </row>
    <row r="25" spans="1:16" ht="36">
      <c r="A25" s="12">
        <v>24</v>
      </c>
      <c r="B25" s="2" t="s">
        <v>745</v>
      </c>
      <c r="C25" s="2" t="s">
        <v>730</v>
      </c>
      <c r="D25" s="1" t="s">
        <v>936</v>
      </c>
      <c r="E25" s="13" t="s">
        <v>971</v>
      </c>
      <c r="F25" s="2" t="s">
        <v>30</v>
      </c>
      <c r="G25" s="12" t="s">
        <v>822</v>
      </c>
      <c r="H25" s="14" t="s">
        <v>823</v>
      </c>
      <c r="I25" s="3" t="s">
        <v>754</v>
      </c>
      <c r="J25" s="16">
        <f>JG</f>
        <v>11.675000000000001</v>
      </c>
      <c r="K25" s="13">
        <v>1</v>
      </c>
      <c r="L25" s="16">
        <f t="shared" si="6"/>
        <v>11.675000000000001</v>
      </c>
      <c r="M25" s="16">
        <v>29</v>
      </c>
      <c r="N25" s="18">
        <f t="shared" si="7"/>
        <v>0.33857500000000007</v>
      </c>
      <c r="O25" s="16">
        <v>0.97399999999999998</v>
      </c>
      <c r="P25" s="18">
        <f t="shared" si="8"/>
        <v>11.371450000000001</v>
      </c>
    </row>
    <row r="26" spans="1:16" ht="36">
      <c r="A26" s="12">
        <v>25</v>
      </c>
      <c r="B26" s="2" t="s">
        <v>745</v>
      </c>
      <c r="C26" s="2" t="s">
        <v>730</v>
      </c>
      <c r="D26" s="1" t="s">
        <v>400</v>
      </c>
      <c r="E26" s="13" t="s">
        <v>974</v>
      </c>
      <c r="F26" s="2" t="s">
        <v>355</v>
      </c>
      <c r="G26" s="12" t="s">
        <v>822</v>
      </c>
      <c r="H26" s="14" t="s">
        <v>823</v>
      </c>
      <c r="I26" s="3" t="s">
        <v>240</v>
      </c>
      <c r="J26" s="16">
        <f>JG</f>
        <v>4</v>
      </c>
      <c r="K26" s="13">
        <v>1</v>
      </c>
      <c r="L26" s="16">
        <f t="shared" si="6"/>
        <v>4</v>
      </c>
      <c r="M26" s="16">
        <f>0.096*0.27*0.006*7850</f>
        <v>1.2208320000000001</v>
      </c>
      <c r="N26" s="18">
        <f t="shared" si="7"/>
        <v>4.883328000000001E-3</v>
      </c>
      <c r="O26" s="16">
        <f>0.096*2*0.27</f>
        <v>5.1840000000000004E-2</v>
      </c>
      <c r="P26" s="18">
        <f t="shared" si="8"/>
        <v>0.20736000000000002</v>
      </c>
    </row>
    <row r="27" spans="1:16" ht="36">
      <c r="A27" s="12">
        <v>26</v>
      </c>
      <c r="B27" s="2" t="s">
        <v>745</v>
      </c>
      <c r="C27" s="2" t="s">
        <v>730</v>
      </c>
      <c r="D27" s="1" t="s">
        <v>980</v>
      </c>
      <c r="E27" s="13" t="s">
        <v>971</v>
      </c>
      <c r="F27" s="2" t="s">
        <v>347</v>
      </c>
      <c r="G27" s="12" t="s">
        <v>822</v>
      </c>
      <c r="H27" s="14" t="s">
        <v>823</v>
      </c>
      <c r="I27" s="3" t="s">
        <v>755</v>
      </c>
      <c r="J27" s="16">
        <f>JG</f>
        <v>42</v>
      </c>
      <c r="K27" s="13">
        <v>1</v>
      </c>
      <c r="L27" s="16">
        <f t="shared" si="6"/>
        <v>42</v>
      </c>
      <c r="M27" s="16">
        <v>65.400000000000006</v>
      </c>
      <c r="N27" s="18">
        <f t="shared" si="7"/>
        <v>2.7468000000000004</v>
      </c>
      <c r="O27" s="16">
        <v>1.56</v>
      </c>
      <c r="P27" s="18">
        <f t="shared" si="8"/>
        <v>65.52</v>
      </c>
    </row>
    <row r="28" spans="1:16" ht="36">
      <c r="A28" s="12">
        <v>27</v>
      </c>
      <c r="B28" s="2" t="s">
        <v>745</v>
      </c>
      <c r="C28" s="2" t="s">
        <v>730</v>
      </c>
      <c r="D28" s="1" t="s">
        <v>981</v>
      </c>
      <c r="E28" s="13" t="s">
        <v>971</v>
      </c>
      <c r="F28" s="2" t="s">
        <v>347</v>
      </c>
      <c r="G28" s="12" t="s">
        <v>822</v>
      </c>
      <c r="H28" s="14" t="s">
        <v>823</v>
      </c>
      <c r="I28" s="3" t="s">
        <v>756</v>
      </c>
      <c r="J28" s="16">
        <f>JG</f>
        <v>33.299999999999997</v>
      </c>
      <c r="K28" s="13">
        <v>1</v>
      </c>
      <c r="L28" s="16">
        <f t="shared" si="6"/>
        <v>33.299999999999997</v>
      </c>
      <c r="M28" s="16">
        <v>65.400000000000006</v>
      </c>
      <c r="N28" s="18">
        <f t="shared" si="7"/>
        <v>2.1778200000000001</v>
      </c>
      <c r="O28" s="16">
        <v>1.56</v>
      </c>
      <c r="P28" s="18">
        <f t="shared" si="8"/>
        <v>51.948</v>
      </c>
    </row>
    <row r="29" spans="1:16" ht="36">
      <c r="A29" s="12">
        <v>28</v>
      </c>
      <c r="B29" s="2" t="s">
        <v>745</v>
      </c>
      <c r="C29" s="2" t="s">
        <v>730</v>
      </c>
      <c r="D29" s="1" t="s">
        <v>892</v>
      </c>
      <c r="E29" s="13" t="s">
        <v>971</v>
      </c>
      <c r="F29" s="2" t="s">
        <v>347</v>
      </c>
      <c r="G29" s="12" t="s">
        <v>822</v>
      </c>
      <c r="H29" s="14" t="s">
        <v>823</v>
      </c>
      <c r="I29" s="3" t="s">
        <v>757</v>
      </c>
      <c r="J29" s="16">
        <f>JG</f>
        <v>24.400000000000002</v>
      </c>
      <c r="K29" s="13">
        <v>1</v>
      </c>
      <c r="L29" s="16">
        <f t="shared" si="6"/>
        <v>24.400000000000002</v>
      </c>
      <c r="M29" s="16">
        <v>65.400000000000006</v>
      </c>
      <c r="N29" s="18">
        <f t="shared" si="7"/>
        <v>1.5957600000000003</v>
      </c>
      <c r="O29" s="16">
        <v>1.56</v>
      </c>
      <c r="P29" s="18">
        <f t="shared" si="8"/>
        <v>38.064000000000007</v>
      </c>
    </row>
    <row r="30" spans="1:16" ht="36">
      <c r="A30" s="12">
        <v>29</v>
      </c>
      <c r="B30" s="2" t="s">
        <v>745</v>
      </c>
      <c r="C30" s="2" t="s">
        <v>730</v>
      </c>
      <c r="D30" s="1" t="s">
        <v>400</v>
      </c>
      <c r="E30" s="13" t="s">
        <v>974</v>
      </c>
      <c r="F30" s="2" t="s">
        <v>758</v>
      </c>
      <c r="G30" s="12" t="s">
        <v>822</v>
      </c>
      <c r="H30" s="14" t="s">
        <v>823</v>
      </c>
      <c r="I30" s="3" t="s">
        <v>134</v>
      </c>
      <c r="J30" s="16">
        <f>JG</f>
        <v>12</v>
      </c>
      <c r="K30" s="13">
        <v>1</v>
      </c>
      <c r="L30" s="16">
        <f t="shared" si="6"/>
        <v>12</v>
      </c>
      <c r="M30" s="16">
        <f>0.096*0.374*0.008*7850</f>
        <v>2.2547712</v>
      </c>
      <c r="N30" s="18">
        <f t="shared" si="7"/>
        <v>2.7057254399999998E-2</v>
      </c>
      <c r="O30" s="16">
        <f>0.096*2*0.374</f>
        <v>7.1807999999999997E-2</v>
      </c>
      <c r="P30" s="18">
        <f t="shared" si="8"/>
        <v>0.86169600000000002</v>
      </c>
    </row>
    <row r="31" spans="1:16" ht="36">
      <c r="A31" s="12">
        <v>30</v>
      </c>
      <c r="B31" s="2" t="s">
        <v>745</v>
      </c>
      <c r="C31" s="2" t="s">
        <v>730</v>
      </c>
      <c r="D31" s="1" t="s">
        <v>533</v>
      </c>
      <c r="E31" s="13" t="s">
        <v>973</v>
      </c>
      <c r="F31" s="2" t="s">
        <v>475</v>
      </c>
      <c r="G31" s="12" t="s">
        <v>822</v>
      </c>
      <c r="H31" s="14" t="s">
        <v>823</v>
      </c>
      <c r="I31" s="3" t="s">
        <v>759</v>
      </c>
      <c r="J31" s="16">
        <f>JG</f>
        <v>1.9209372712298547</v>
      </c>
      <c r="K31" s="13">
        <v>8</v>
      </c>
      <c r="L31" s="16">
        <f t="shared" si="6"/>
        <v>15.367498169838838</v>
      </c>
      <c r="M31" s="16">
        <v>7.47</v>
      </c>
      <c r="N31" s="18">
        <f t="shared" si="7"/>
        <v>0.11479521132869612</v>
      </c>
      <c r="O31" s="16">
        <v>0.247</v>
      </c>
      <c r="P31" s="18">
        <f t="shared" si="8"/>
        <v>3.7957720479501926</v>
      </c>
    </row>
    <row r="32" spans="1:16" ht="36">
      <c r="A32" s="12">
        <v>31</v>
      </c>
      <c r="B32" s="2" t="s">
        <v>745</v>
      </c>
      <c r="C32" s="2" t="s">
        <v>730</v>
      </c>
      <c r="D32" s="1" t="s">
        <v>533</v>
      </c>
      <c r="E32" s="13" t="s">
        <v>973</v>
      </c>
      <c r="F32" s="2" t="s">
        <v>475</v>
      </c>
      <c r="G32" s="12" t="s">
        <v>822</v>
      </c>
      <c r="H32" s="14" t="s">
        <v>823</v>
      </c>
      <c r="I32" s="3" t="s">
        <v>760</v>
      </c>
      <c r="J32" s="16">
        <f>JG</f>
        <v>2.0518284528683193</v>
      </c>
      <c r="K32" s="13">
        <v>1</v>
      </c>
      <c r="L32" s="16">
        <f t="shared" si="6"/>
        <v>2.0518284528683193</v>
      </c>
      <c r="M32" s="16">
        <v>7.47</v>
      </c>
      <c r="N32" s="18">
        <f t="shared" si="7"/>
        <v>1.5327158542926345E-2</v>
      </c>
      <c r="O32" s="16">
        <v>0.247</v>
      </c>
      <c r="P32" s="18">
        <f t="shared" si="8"/>
        <v>0.50680162785847482</v>
      </c>
    </row>
    <row r="33" spans="1:17" ht="36">
      <c r="A33" s="12">
        <v>32</v>
      </c>
      <c r="B33" s="2" t="s">
        <v>745</v>
      </c>
      <c r="C33" s="2" t="s">
        <v>730</v>
      </c>
      <c r="D33" s="1" t="s">
        <v>895</v>
      </c>
      <c r="E33" s="13" t="s">
        <v>972</v>
      </c>
      <c r="F33" s="2" t="s">
        <v>31</v>
      </c>
      <c r="G33" s="12" t="s">
        <v>822</v>
      </c>
      <c r="H33" s="14" t="s">
        <v>823</v>
      </c>
      <c r="I33" s="3" t="s">
        <v>761</v>
      </c>
      <c r="J33" s="16">
        <f>JG</f>
        <v>3.8108398024582457</v>
      </c>
      <c r="K33" s="13">
        <v>6</v>
      </c>
      <c r="L33" s="16">
        <f t="shared" si="6"/>
        <v>22.865038814749475</v>
      </c>
      <c r="M33" s="16">
        <v>14.5</v>
      </c>
      <c r="N33" s="18">
        <f t="shared" si="7"/>
        <v>0.33154306281386736</v>
      </c>
      <c r="O33" s="16">
        <v>0.49299999999999999</v>
      </c>
      <c r="P33" s="18">
        <f t="shared" si="8"/>
        <v>11.272464135671491</v>
      </c>
    </row>
    <row r="34" spans="1:17" ht="36">
      <c r="A34" s="12">
        <v>33</v>
      </c>
      <c r="B34" s="2" t="s">
        <v>745</v>
      </c>
      <c r="C34" s="2" t="s">
        <v>730</v>
      </c>
      <c r="D34" s="1" t="s">
        <v>895</v>
      </c>
      <c r="E34" s="13" t="s">
        <v>972</v>
      </c>
      <c r="F34" s="2" t="s">
        <v>31</v>
      </c>
      <c r="G34" s="12" t="s">
        <v>822</v>
      </c>
      <c r="H34" s="14" t="s">
        <v>823</v>
      </c>
      <c r="I34" s="3" t="s">
        <v>762</v>
      </c>
      <c r="J34" s="16">
        <f>JG</f>
        <v>3.7802116342871597</v>
      </c>
      <c r="K34" s="13">
        <v>3</v>
      </c>
      <c r="L34" s="16">
        <f t="shared" si="6"/>
        <v>11.340634902861479</v>
      </c>
      <c r="M34" s="16">
        <v>14.5</v>
      </c>
      <c r="N34" s="18">
        <f t="shared" si="7"/>
        <v>0.16443920609149146</v>
      </c>
      <c r="O34" s="16">
        <v>0.49299999999999999</v>
      </c>
      <c r="P34" s="18">
        <f t="shared" si="8"/>
        <v>5.5909330071107091</v>
      </c>
    </row>
    <row r="35" spans="1:17" ht="36">
      <c r="A35" s="12">
        <v>34</v>
      </c>
      <c r="B35" s="2" t="s">
        <v>745</v>
      </c>
      <c r="C35" s="2" t="s">
        <v>730</v>
      </c>
      <c r="D35" s="1" t="s">
        <v>895</v>
      </c>
      <c r="E35" s="13" t="s">
        <v>972</v>
      </c>
      <c r="F35" s="2" t="s">
        <v>31</v>
      </c>
      <c r="G35" s="12" t="s">
        <v>822</v>
      </c>
      <c r="H35" s="14" t="s">
        <v>823</v>
      </c>
      <c r="I35" s="3" t="s">
        <v>763</v>
      </c>
      <c r="J35" s="16">
        <f>JG</f>
        <v>4.3011626335213133</v>
      </c>
      <c r="K35" s="13">
        <v>8</v>
      </c>
      <c r="L35" s="16">
        <f t="shared" si="6"/>
        <v>34.409301068170507</v>
      </c>
      <c r="M35" s="16">
        <v>14.5</v>
      </c>
      <c r="N35" s="18">
        <f t="shared" si="7"/>
        <v>0.49893486548847232</v>
      </c>
      <c r="O35" s="16">
        <v>0.49299999999999999</v>
      </c>
      <c r="P35" s="18">
        <f t="shared" si="8"/>
        <v>16.963785426608059</v>
      </c>
    </row>
    <row r="36" spans="1:17" ht="36">
      <c r="A36" s="12">
        <v>35</v>
      </c>
      <c r="B36" s="2" t="s">
        <v>745</v>
      </c>
      <c r="C36" s="2" t="s">
        <v>730</v>
      </c>
      <c r="D36" s="1" t="s">
        <v>895</v>
      </c>
      <c r="E36" s="13" t="s">
        <v>972</v>
      </c>
      <c r="F36" s="2" t="s">
        <v>31</v>
      </c>
      <c r="G36" s="12" t="s">
        <v>822</v>
      </c>
      <c r="H36" s="14" t="s">
        <v>823</v>
      </c>
      <c r="I36" s="3" t="s">
        <v>764</v>
      </c>
      <c r="J36" s="16">
        <f>JG</f>
        <v>4.6097722286464435</v>
      </c>
      <c r="K36" s="13">
        <v>20</v>
      </c>
      <c r="L36" s="16">
        <f t="shared" si="6"/>
        <v>92.195444572928864</v>
      </c>
      <c r="M36" s="16">
        <v>14.5</v>
      </c>
      <c r="N36" s="18">
        <f t="shared" si="7"/>
        <v>1.3368339463074685</v>
      </c>
      <c r="O36" s="16">
        <v>0.49299999999999999</v>
      </c>
      <c r="P36" s="18">
        <f t="shared" si="8"/>
        <v>45.45235417445393</v>
      </c>
    </row>
    <row r="37" spans="1:17" ht="36">
      <c r="A37" s="12">
        <v>36</v>
      </c>
      <c r="B37" s="2" t="s">
        <v>745</v>
      </c>
      <c r="C37" s="2" t="s">
        <v>730</v>
      </c>
      <c r="D37" s="1" t="s">
        <v>895</v>
      </c>
      <c r="E37" s="13" t="s">
        <v>972</v>
      </c>
      <c r="F37" s="2" t="s">
        <v>31</v>
      </c>
      <c r="G37" s="12" t="s">
        <v>822</v>
      </c>
      <c r="H37" s="14" t="s">
        <v>823</v>
      </c>
      <c r="I37" s="3" t="s">
        <v>765</v>
      </c>
      <c r="J37" s="16">
        <f>JG</f>
        <v>4.1880783182743846</v>
      </c>
      <c r="K37" s="13">
        <v>2</v>
      </c>
      <c r="L37" s="16">
        <f t="shared" si="6"/>
        <v>8.3761566365487692</v>
      </c>
      <c r="M37" s="16">
        <v>14.5</v>
      </c>
      <c r="N37" s="18">
        <f t="shared" si="7"/>
        <v>0.12145427122995717</v>
      </c>
      <c r="O37" s="16">
        <v>0.49299999999999999</v>
      </c>
      <c r="P37" s="18">
        <f t="shared" si="8"/>
        <v>4.1294452218185436</v>
      </c>
    </row>
    <row r="38" spans="1:17" ht="36">
      <c r="A38" s="12">
        <v>37</v>
      </c>
      <c r="B38" s="2" t="s">
        <v>745</v>
      </c>
      <c r="C38" s="2" t="s">
        <v>730</v>
      </c>
      <c r="D38" s="1" t="s">
        <v>895</v>
      </c>
      <c r="E38" s="13" t="s">
        <v>972</v>
      </c>
      <c r="F38" s="2" t="s">
        <v>31</v>
      </c>
      <c r="G38" s="12" t="s">
        <v>822</v>
      </c>
      <c r="H38" s="14" t="s">
        <v>823</v>
      </c>
      <c r="I38" s="3" t="s">
        <v>766</v>
      </c>
      <c r="J38" s="16">
        <f>JG</f>
        <v>3.3970575502926055</v>
      </c>
      <c r="K38" s="13">
        <v>2</v>
      </c>
      <c r="L38" s="16">
        <f t="shared" si="6"/>
        <v>6.794115100585211</v>
      </c>
      <c r="M38" s="16">
        <v>14.5</v>
      </c>
      <c r="N38" s="18">
        <f t="shared" si="7"/>
        <v>9.8514668958485554E-2</v>
      </c>
      <c r="O38" s="16">
        <v>0.49299999999999999</v>
      </c>
      <c r="P38" s="18">
        <f t="shared" si="8"/>
        <v>3.3494987445885092</v>
      </c>
    </row>
    <row r="39" spans="1:17" ht="36">
      <c r="A39" s="12">
        <v>38</v>
      </c>
      <c r="B39" s="2" t="s">
        <v>745</v>
      </c>
      <c r="C39" s="2" t="s">
        <v>730</v>
      </c>
      <c r="D39" s="1" t="s">
        <v>895</v>
      </c>
      <c r="E39" s="13" t="s">
        <v>972</v>
      </c>
      <c r="F39" s="2" t="s">
        <v>31</v>
      </c>
      <c r="G39" s="12" t="s">
        <v>822</v>
      </c>
      <c r="H39" s="14" t="s">
        <v>823</v>
      </c>
      <c r="I39" s="3" t="s">
        <v>767</v>
      </c>
      <c r="J39" s="16">
        <f>JG</f>
        <v>3.4655446902326914</v>
      </c>
      <c r="K39" s="13">
        <v>1</v>
      </c>
      <c r="L39" s="16">
        <f t="shared" si="6"/>
        <v>3.4655446902326914</v>
      </c>
      <c r="M39" s="16">
        <v>14.5</v>
      </c>
      <c r="N39" s="18">
        <f t="shared" si="7"/>
        <v>5.0250398008374025E-2</v>
      </c>
      <c r="O39" s="16">
        <v>0.49299999999999999</v>
      </c>
      <c r="P39" s="18">
        <f t="shared" si="8"/>
        <v>1.7085135322847169</v>
      </c>
    </row>
    <row r="40" spans="1:17" ht="24">
      <c r="A40" s="12">
        <v>39</v>
      </c>
      <c r="C40" s="2" t="s">
        <v>768</v>
      </c>
      <c r="D40" s="1" t="s">
        <v>428</v>
      </c>
      <c r="E40" s="13" t="s">
        <v>971</v>
      </c>
      <c r="F40" s="2" t="s">
        <v>769</v>
      </c>
      <c r="G40" s="12" t="s">
        <v>822</v>
      </c>
      <c r="H40" s="14" t="s">
        <v>823</v>
      </c>
      <c r="I40" s="3" t="s">
        <v>770</v>
      </c>
      <c r="J40" s="16">
        <f>JG</f>
        <v>7.2862884927787483</v>
      </c>
      <c r="K40" s="13">
        <v>2</v>
      </c>
      <c r="L40" s="16">
        <f t="shared" si="6"/>
        <v>14.572576985557497</v>
      </c>
      <c r="M40" s="16">
        <v>49.9</v>
      </c>
      <c r="N40" s="18">
        <f t="shared" si="7"/>
        <v>0.7271715915793191</v>
      </c>
      <c r="O40" s="16">
        <v>1.1599999999999999</v>
      </c>
      <c r="P40" s="18">
        <f t="shared" si="8"/>
        <v>16.904189303246696</v>
      </c>
      <c r="Q40" s="13" t="s">
        <v>85</v>
      </c>
    </row>
    <row r="41" spans="1:17" ht="24">
      <c r="A41" s="12">
        <v>40</v>
      </c>
      <c r="C41" s="2" t="s">
        <v>768</v>
      </c>
      <c r="D41" s="1" t="s">
        <v>428</v>
      </c>
      <c r="E41" s="13" t="s">
        <v>971</v>
      </c>
      <c r="F41" s="2" t="s">
        <v>769</v>
      </c>
      <c r="G41" s="12" t="s">
        <v>822</v>
      </c>
      <c r="H41" s="14" t="s">
        <v>823</v>
      </c>
      <c r="I41" s="3" t="s">
        <v>771</v>
      </c>
      <c r="J41" s="16">
        <f>JG</f>
        <v>8.0056230238501733</v>
      </c>
      <c r="K41" s="13">
        <v>2</v>
      </c>
      <c r="L41" s="16">
        <f t="shared" si="6"/>
        <v>16.011246047700347</v>
      </c>
      <c r="M41" s="16">
        <v>49.9</v>
      </c>
      <c r="N41" s="18">
        <f t="shared" si="7"/>
        <v>0.79896117778024722</v>
      </c>
      <c r="O41" s="16">
        <v>1.1599999999999999</v>
      </c>
      <c r="P41" s="18">
        <f t="shared" si="8"/>
        <v>18.573045415332402</v>
      </c>
      <c r="Q41" s="13" t="s">
        <v>85</v>
      </c>
    </row>
    <row r="42" spans="1:17" ht="24">
      <c r="A42" s="12">
        <v>41</v>
      </c>
      <c r="C42" s="2" t="s">
        <v>772</v>
      </c>
      <c r="D42" s="1" t="s">
        <v>428</v>
      </c>
      <c r="E42" s="13" t="s">
        <v>971</v>
      </c>
      <c r="F42" s="2" t="s">
        <v>769</v>
      </c>
      <c r="G42" s="12" t="s">
        <v>822</v>
      </c>
      <c r="H42" s="14" t="s">
        <v>823</v>
      </c>
      <c r="I42" s="3" t="s">
        <v>770</v>
      </c>
      <c r="J42" s="16">
        <f>JG</f>
        <v>7.2862884927787483</v>
      </c>
      <c r="K42" s="13">
        <v>2</v>
      </c>
      <c r="L42" s="16">
        <f t="shared" si="6"/>
        <v>14.572576985557497</v>
      </c>
      <c r="M42" s="16">
        <v>49.9</v>
      </c>
      <c r="N42" s="18">
        <f t="shared" si="7"/>
        <v>0.7271715915793191</v>
      </c>
      <c r="O42" s="16">
        <v>1.1599999999999999</v>
      </c>
      <c r="P42" s="18">
        <f t="shared" si="8"/>
        <v>16.904189303246696</v>
      </c>
      <c r="Q42" s="13" t="s">
        <v>85</v>
      </c>
    </row>
    <row r="43" spans="1:17" ht="24">
      <c r="A43" s="12">
        <v>42</v>
      </c>
      <c r="C43" s="2" t="s">
        <v>772</v>
      </c>
      <c r="D43" s="1" t="s">
        <v>428</v>
      </c>
      <c r="E43" s="13" t="s">
        <v>971</v>
      </c>
      <c r="F43" s="2" t="s">
        <v>769</v>
      </c>
      <c r="G43" s="12" t="s">
        <v>822</v>
      </c>
      <c r="H43" s="14" t="s">
        <v>823</v>
      </c>
      <c r="I43" s="3" t="s">
        <v>771</v>
      </c>
      <c r="J43" s="16">
        <f>JG</f>
        <v>8.0056230238501733</v>
      </c>
      <c r="K43" s="13">
        <v>2</v>
      </c>
      <c r="L43" s="16">
        <f t="shared" si="6"/>
        <v>16.011246047700347</v>
      </c>
      <c r="M43" s="16">
        <v>49.9</v>
      </c>
      <c r="N43" s="18">
        <f t="shared" si="7"/>
        <v>0.79896117778024722</v>
      </c>
      <c r="O43" s="16">
        <v>1.1599999999999999</v>
      </c>
      <c r="P43" s="18">
        <f t="shared" si="8"/>
        <v>18.573045415332402</v>
      </c>
      <c r="Q43" s="13" t="s">
        <v>85</v>
      </c>
    </row>
    <row r="44" spans="1:17">
      <c r="A44" s="12">
        <v>43</v>
      </c>
      <c r="C44" s="2" t="s">
        <v>773</v>
      </c>
      <c r="D44" s="1" t="s">
        <v>428</v>
      </c>
      <c r="E44" s="13" t="s">
        <v>971</v>
      </c>
      <c r="F44" s="2" t="s">
        <v>769</v>
      </c>
      <c r="G44" s="12" t="s">
        <v>822</v>
      </c>
      <c r="H44" s="14" t="s">
        <v>823</v>
      </c>
      <c r="I44" s="3" t="s">
        <v>771</v>
      </c>
      <c r="J44" s="16">
        <f>JG</f>
        <v>8.0056230238501733</v>
      </c>
      <c r="K44" s="13">
        <v>2</v>
      </c>
      <c r="L44" s="16">
        <f t="shared" si="6"/>
        <v>16.011246047700347</v>
      </c>
      <c r="M44" s="16">
        <v>49.9</v>
      </c>
      <c r="N44" s="18">
        <f t="shared" si="7"/>
        <v>0.79896117778024722</v>
      </c>
      <c r="O44" s="16">
        <v>1.1599999999999999</v>
      </c>
      <c r="P44" s="18">
        <f t="shared" si="8"/>
        <v>18.573045415332402</v>
      </c>
      <c r="Q44" s="13" t="s">
        <v>85</v>
      </c>
    </row>
    <row r="45" spans="1:17" ht="24">
      <c r="A45" s="12">
        <v>44</v>
      </c>
      <c r="C45" s="2" t="s">
        <v>774</v>
      </c>
      <c r="D45" s="1" t="s">
        <v>472</v>
      </c>
      <c r="E45" s="13" t="s">
        <v>973</v>
      </c>
      <c r="F45" s="2" t="s">
        <v>475</v>
      </c>
      <c r="G45" s="12" t="s">
        <v>822</v>
      </c>
      <c r="H45" s="14" t="s">
        <v>823</v>
      </c>
      <c r="I45" s="3" t="s">
        <v>775</v>
      </c>
      <c r="J45" s="16">
        <f>JG</f>
        <v>1.697056274847714</v>
      </c>
      <c r="K45" s="13">
        <v>2</v>
      </c>
      <c r="L45" s="16">
        <f t="shared" si="6"/>
        <v>3.3941125496954281</v>
      </c>
      <c r="M45" s="16">
        <v>7.47</v>
      </c>
      <c r="N45" s="18">
        <f t="shared" si="7"/>
        <v>2.5354020746224847E-2</v>
      </c>
      <c r="O45" s="16">
        <v>0.247</v>
      </c>
      <c r="P45" s="18">
        <f t="shared" si="8"/>
        <v>0.83834579977477075</v>
      </c>
    </row>
    <row r="46" spans="1:17" ht="24">
      <c r="A46" s="12">
        <v>45</v>
      </c>
      <c r="B46" s="2" t="s">
        <v>743</v>
      </c>
      <c r="C46" s="2" t="s">
        <v>776</v>
      </c>
      <c r="D46" s="1" t="s">
        <v>976</v>
      </c>
      <c r="E46" s="13" t="s">
        <v>971</v>
      </c>
      <c r="F46" s="2" t="s">
        <v>28</v>
      </c>
      <c r="G46" s="12" t="s">
        <v>822</v>
      </c>
      <c r="H46" s="14" t="s">
        <v>823</v>
      </c>
      <c r="I46" s="3" t="s">
        <v>1039</v>
      </c>
      <c r="J46" s="16">
        <f>JG</f>
        <v>6.7699999999999969</v>
      </c>
      <c r="K46" s="13">
        <v>12</v>
      </c>
      <c r="L46" s="16">
        <f t="shared" si="6"/>
        <v>81.239999999999966</v>
      </c>
      <c r="M46" s="16">
        <v>78.099999999999994</v>
      </c>
      <c r="N46" s="18">
        <f t="shared" si="7"/>
        <v>6.3448439999999975</v>
      </c>
      <c r="O46" s="16">
        <v>1.64</v>
      </c>
      <c r="P46" s="18">
        <f t="shared" si="8"/>
        <v>133.23359999999994</v>
      </c>
    </row>
    <row r="47" spans="1:17" ht="24">
      <c r="A47" s="12">
        <v>46</v>
      </c>
      <c r="B47" s="2" t="s">
        <v>741</v>
      </c>
      <c r="C47" s="2" t="s">
        <v>776</v>
      </c>
      <c r="D47" s="1" t="s">
        <v>909</v>
      </c>
      <c r="E47" s="13" t="s">
        <v>974</v>
      </c>
      <c r="F47" s="2" t="s">
        <v>1070</v>
      </c>
      <c r="G47" s="12" t="s">
        <v>969</v>
      </c>
      <c r="H47" s="14" t="s">
        <v>970</v>
      </c>
      <c r="I47" s="3">
        <v>1</v>
      </c>
      <c r="J47" s="16">
        <f>JG</f>
        <v>1</v>
      </c>
      <c r="K47" s="13">
        <v>12</v>
      </c>
      <c r="L47" s="16">
        <f t="shared" ref="L47:L50" si="9">J47*K47</f>
        <v>12</v>
      </c>
      <c r="M47" s="16">
        <f>0.62*0.57*0.03*7850</f>
        <v>83.225699999999989</v>
      </c>
      <c r="N47" s="18">
        <f t="shared" ref="N47:N50" si="10">L47*M47*0.001</f>
        <v>0.99870839999999994</v>
      </c>
      <c r="O47" s="16">
        <f>0.62*0.57</f>
        <v>0.35339999999999999</v>
      </c>
      <c r="P47" s="18">
        <f t="shared" ref="P47:P50" si="11">O47*L47</f>
        <v>4.2408000000000001</v>
      </c>
    </row>
    <row r="48" spans="1:17" ht="24">
      <c r="A48" s="12">
        <v>47</v>
      </c>
      <c r="B48" s="2" t="s">
        <v>741</v>
      </c>
      <c r="C48" s="2" t="s">
        <v>776</v>
      </c>
      <c r="D48" s="1" t="s">
        <v>909</v>
      </c>
      <c r="E48" s="13" t="s">
        <v>974</v>
      </c>
      <c r="F48" s="2" t="s">
        <v>712</v>
      </c>
      <c r="G48" s="12" t="s">
        <v>969</v>
      </c>
      <c r="H48" s="14" t="s">
        <v>970</v>
      </c>
      <c r="I48" s="3">
        <v>2</v>
      </c>
      <c r="J48" s="16">
        <f>JG</f>
        <v>2</v>
      </c>
      <c r="K48" s="13">
        <v>12</v>
      </c>
      <c r="L48" s="16">
        <f t="shared" si="9"/>
        <v>24</v>
      </c>
      <c r="M48" s="16"/>
      <c r="N48" s="18">
        <f t="shared" si="10"/>
        <v>0</v>
      </c>
      <c r="O48" s="16"/>
      <c r="P48" s="18">
        <f t="shared" si="11"/>
        <v>0</v>
      </c>
    </row>
    <row r="49" spans="1:16" ht="24">
      <c r="A49" s="12">
        <v>48</v>
      </c>
      <c r="B49" s="2" t="s">
        <v>741</v>
      </c>
      <c r="C49" s="2" t="s">
        <v>776</v>
      </c>
      <c r="D49" s="1" t="s">
        <v>909</v>
      </c>
      <c r="E49" s="13" t="s">
        <v>974</v>
      </c>
      <c r="F49" s="2" t="s">
        <v>712</v>
      </c>
      <c r="G49" s="12" t="s">
        <v>969</v>
      </c>
      <c r="H49" s="14" t="s">
        <v>970</v>
      </c>
      <c r="I49" s="3">
        <v>4</v>
      </c>
      <c r="J49" s="16">
        <f>JG</f>
        <v>4</v>
      </c>
      <c r="K49" s="13">
        <v>12</v>
      </c>
      <c r="L49" s="16">
        <f t="shared" si="9"/>
        <v>48</v>
      </c>
      <c r="M49" s="16"/>
      <c r="N49" s="18">
        <f t="shared" si="10"/>
        <v>0</v>
      </c>
      <c r="O49" s="16"/>
      <c r="P49" s="18">
        <f t="shared" si="11"/>
        <v>0</v>
      </c>
    </row>
    <row r="50" spans="1:16" ht="24">
      <c r="A50" s="12">
        <v>49</v>
      </c>
      <c r="B50" s="2" t="s">
        <v>741</v>
      </c>
      <c r="C50" s="2" t="s">
        <v>776</v>
      </c>
      <c r="D50" s="1" t="s">
        <v>909</v>
      </c>
      <c r="E50" s="13" t="s">
        <v>974</v>
      </c>
      <c r="F50" s="2" t="s">
        <v>712</v>
      </c>
      <c r="G50" s="12" t="s">
        <v>969</v>
      </c>
      <c r="H50" s="14" t="s">
        <v>970</v>
      </c>
      <c r="I50" s="3">
        <v>8</v>
      </c>
      <c r="J50" s="16">
        <f>JG</f>
        <v>8</v>
      </c>
      <c r="K50" s="13">
        <v>12</v>
      </c>
      <c r="L50" s="16">
        <f t="shared" si="9"/>
        <v>96</v>
      </c>
      <c r="M50" s="16"/>
      <c r="N50" s="18">
        <f t="shared" si="10"/>
        <v>0</v>
      </c>
      <c r="O50" s="16"/>
      <c r="P50" s="18">
        <f t="shared" si="11"/>
        <v>0</v>
      </c>
    </row>
    <row r="51" spans="1:16" ht="36">
      <c r="A51" s="12">
        <v>50</v>
      </c>
      <c r="B51" s="2" t="s">
        <v>778</v>
      </c>
      <c r="C51" s="2" t="s">
        <v>777</v>
      </c>
      <c r="D51" s="1" t="s">
        <v>977</v>
      </c>
      <c r="E51" s="13" t="s">
        <v>971</v>
      </c>
      <c r="F51" s="2" t="s">
        <v>65</v>
      </c>
      <c r="G51" s="12" t="s">
        <v>822</v>
      </c>
      <c r="H51" s="14" t="s">
        <v>823</v>
      </c>
      <c r="I51" s="3">
        <v>6</v>
      </c>
      <c r="J51" s="16">
        <f>JG</f>
        <v>6</v>
      </c>
      <c r="K51" s="13">
        <v>2</v>
      </c>
      <c r="L51" s="16">
        <f t="shared" ref="L51:L69" si="12">J51*K51</f>
        <v>12</v>
      </c>
      <c r="M51" s="16">
        <v>55.8</v>
      </c>
      <c r="N51" s="18">
        <f t="shared" ref="N51:N69" si="13">L51*M51*0.001</f>
        <v>0.66959999999999997</v>
      </c>
      <c r="O51" s="16">
        <v>1.35</v>
      </c>
      <c r="P51" s="18">
        <f t="shared" ref="P51:P69" si="14">O51*L51</f>
        <v>16.200000000000003</v>
      </c>
    </row>
    <row r="52" spans="1:16" ht="36">
      <c r="A52" s="12">
        <v>51</v>
      </c>
      <c r="B52" s="2" t="s">
        <v>778</v>
      </c>
      <c r="C52" s="2" t="s">
        <v>777</v>
      </c>
      <c r="D52" s="1" t="s">
        <v>412</v>
      </c>
      <c r="E52" s="13" t="s">
        <v>971</v>
      </c>
      <c r="F52" s="2" t="s">
        <v>779</v>
      </c>
      <c r="G52" s="12" t="s">
        <v>822</v>
      </c>
      <c r="H52" s="14" t="s">
        <v>823</v>
      </c>
      <c r="I52" s="3" t="s">
        <v>780</v>
      </c>
      <c r="J52" s="16">
        <f>JG</f>
        <v>1.0374999999999999</v>
      </c>
      <c r="K52" s="13">
        <v>1</v>
      </c>
      <c r="L52" s="16">
        <f t="shared" si="12"/>
        <v>1.0374999999999999</v>
      </c>
      <c r="M52" s="16">
        <v>20.9</v>
      </c>
      <c r="N52" s="18">
        <f t="shared" si="13"/>
        <v>2.1683749999999998E-2</v>
      </c>
      <c r="O52" s="16">
        <v>0.77500000000000002</v>
      </c>
      <c r="P52" s="18">
        <f t="shared" si="14"/>
        <v>0.8040624999999999</v>
      </c>
    </row>
    <row r="53" spans="1:16" ht="36">
      <c r="A53" s="12">
        <v>52</v>
      </c>
      <c r="B53" s="2" t="s">
        <v>778</v>
      </c>
      <c r="C53" s="2" t="s">
        <v>777</v>
      </c>
      <c r="D53" s="1" t="s">
        <v>400</v>
      </c>
      <c r="E53" s="13" t="s">
        <v>974</v>
      </c>
      <c r="F53" s="2" t="s">
        <v>74</v>
      </c>
      <c r="G53" s="12" t="s">
        <v>822</v>
      </c>
      <c r="H53" s="14" t="s">
        <v>823</v>
      </c>
      <c r="I53" s="3">
        <v>1</v>
      </c>
      <c r="J53" s="16">
        <f>JG</f>
        <v>1</v>
      </c>
      <c r="K53" s="13">
        <v>1</v>
      </c>
      <c r="L53" s="16">
        <f t="shared" si="12"/>
        <v>1</v>
      </c>
      <c r="M53" s="16">
        <f>0.096*0.27*0.0055*7850</f>
        <v>1.1190959999999999</v>
      </c>
      <c r="N53" s="18">
        <f t="shared" si="13"/>
        <v>1.119096E-3</v>
      </c>
      <c r="O53" s="16">
        <f>0.096*2*0.27</f>
        <v>5.1840000000000004E-2</v>
      </c>
      <c r="P53" s="18">
        <f t="shared" si="14"/>
        <v>5.1840000000000004E-2</v>
      </c>
    </row>
    <row r="54" spans="1:16" ht="36">
      <c r="A54" s="12">
        <v>53</v>
      </c>
      <c r="B54" s="2" t="s">
        <v>778</v>
      </c>
      <c r="C54" s="2" t="s">
        <v>777</v>
      </c>
      <c r="D54" s="1" t="s">
        <v>400</v>
      </c>
      <c r="E54" s="13" t="s">
        <v>974</v>
      </c>
      <c r="F54" s="2" t="s">
        <v>781</v>
      </c>
      <c r="G54" s="12" t="s">
        <v>822</v>
      </c>
      <c r="H54" s="14" t="s">
        <v>823</v>
      </c>
      <c r="I54" s="3">
        <v>2</v>
      </c>
      <c r="J54" s="16">
        <f>JG</f>
        <v>2</v>
      </c>
      <c r="K54" s="13">
        <v>1</v>
      </c>
      <c r="L54" s="16">
        <f t="shared" si="12"/>
        <v>2</v>
      </c>
      <c r="M54" s="16">
        <f>0.059*0.232*0.0055*7850</f>
        <v>0.59097939999999993</v>
      </c>
      <c r="N54" s="18">
        <f t="shared" si="13"/>
        <v>1.1819587999999999E-3</v>
      </c>
      <c r="O54" s="16">
        <f>0.059*2*0.232</f>
        <v>2.7376000000000001E-2</v>
      </c>
      <c r="P54" s="18">
        <f t="shared" si="14"/>
        <v>5.4752000000000002E-2</v>
      </c>
    </row>
    <row r="55" spans="1:16" ht="36">
      <c r="A55" s="12">
        <v>54</v>
      </c>
      <c r="B55" s="2" t="s">
        <v>778</v>
      </c>
      <c r="C55" s="2" t="s">
        <v>777</v>
      </c>
      <c r="D55" s="1" t="s">
        <v>979</v>
      </c>
      <c r="E55" s="13" t="s">
        <v>971</v>
      </c>
      <c r="F55" s="2" t="s">
        <v>30</v>
      </c>
      <c r="G55" s="12" t="s">
        <v>822</v>
      </c>
      <c r="H55" s="14" t="s">
        <v>823</v>
      </c>
      <c r="I55" s="3" t="s">
        <v>782</v>
      </c>
      <c r="J55" s="16">
        <f>JG</f>
        <v>1.1300000000000001</v>
      </c>
      <c r="K55" s="13">
        <v>2</v>
      </c>
      <c r="L55" s="16">
        <f t="shared" si="12"/>
        <v>2.2600000000000002</v>
      </c>
      <c r="M55" s="16">
        <v>29</v>
      </c>
      <c r="N55" s="18">
        <f t="shared" si="13"/>
        <v>6.5540000000000001E-2</v>
      </c>
      <c r="O55" s="16">
        <v>0.97399999999999998</v>
      </c>
      <c r="P55" s="18">
        <f t="shared" si="14"/>
        <v>2.2012400000000003</v>
      </c>
    </row>
    <row r="56" spans="1:16" ht="36">
      <c r="A56" s="12">
        <v>55</v>
      </c>
      <c r="B56" s="2" t="s">
        <v>778</v>
      </c>
      <c r="C56" s="2" t="s">
        <v>777</v>
      </c>
      <c r="D56" s="1" t="s">
        <v>936</v>
      </c>
      <c r="E56" s="13" t="s">
        <v>971</v>
      </c>
      <c r="F56" s="2" t="s">
        <v>30</v>
      </c>
      <c r="G56" s="12" t="s">
        <v>822</v>
      </c>
      <c r="H56" s="14" t="s">
        <v>823</v>
      </c>
      <c r="I56" s="3" t="s">
        <v>785</v>
      </c>
      <c r="J56" s="16">
        <f>JG</f>
        <v>48.575000000000003</v>
      </c>
      <c r="K56" s="13">
        <v>1</v>
      </c>
      <c r="L56" s="16">
        <f t="shared" si="12"/>
        <v>48.575000000000003</v>
      </c>
      <c r="M56" s="16">
        <v>29</v>
      </c>
      <c r="N56" s="18">
        <f t="shared" si="13"/>
        <v>1.4086750000000001</v>
      </c>
      <c r="O56" s="16">
        <v>0.97399999999999998</v>
      </c>
      <c r="P56" s="18">
        <f t="shared" si="14"/>
        <v>47.312049999999999</v>
      </c>
    </row>
    <row r="57" spans="1:16" ht="36">
      <c r="A57" s="12">
        <v>56</v>
      </c>
      <c r="B57" s="2" t="s">
        <v>778</v>
      </c>
      <c r="C57" s="2" t="s">
        <v>777</v>
      </c>
      <c r="D57" s="1" t="s">
        <v>400</v>
      </c>
      <c r="E57" s="13" t="s">
        <v>974</v>
      </c>
      <c r="F57" s="2" t="s">
        <v>630</v>
      </c>
      <c r="G57" s="12" t="s">
        <v>822</v>
      </c>
      <c r="H57" s="14" t="s">
        <v>823</v>
      </c>
      <c r="I57" s="3" t="s">
        <v>240</v>
      </c>
      <c r="J57" s="16">
        <f>JG</f>
        <v>4</v>
      </c>
      <c r="K57" s="13">
        <v>1</v>
      </c>
      <c r="L57" s="16">
        <f t="shared" si="12"/>
        <v>4</v>
      </c>
      <c r="M57" s="16">
        <f>0.059*0.232*0.006*7850</f>
        <v>0.64470480000000008</v>
      </c>
      <c r="N57" s="18">
        <f t="shared" si="13"/>
        <v>2.5788192000000005E-3</v>
      </c>
      <c r="O57" s="16">
        <f>0.059*2*0.232</f>
        <v>2.7376000000000001E-2</v>
      </c>
      <c r="P57" s="18">
        <f t="shared" si="14"/>
        <v>0.109504</v>
      </c>
    </row>
    <row r="58" spans="1:16" ht="36">
      <c r="A58" s="12">
        <v>57</v>
      </c>
      <c r="B58" s="2" t="s">
        <v>778</v>
      </c>
      <c r="C58" s="2" t="s">
        <v>777</v>
      </c>
      <c r="D58" s="1" t="s">
        <v>400</v>
      </c>
      <c r="E58" s="13" t="s">
        <v>974</v>
      </c>
      <c r="F58" s="2" t="s">
        <v>357</v>
      </c>
      <c r="G58" s="12" t="s">
        <v>822</v>
      </c>
      <c r="H58" s="14" t="s">
        <v>823</v>
      </c>
      <c r="I58" s="3" t="s">
        <v>783</v>
      </c>
      <c r="J58" s="16">
        <f>JG</f>
        <v>40</v>
      </c>
      <c r="K58" s="13">
        <v>1</v>
      </c>
      <c r="L58" s="16">
        <f t="shared" si="12"/>
        <v>40</v>
      </c>
      <c r="M58" s="16">
        <f>0.071*0.282*0.006*7850</f>
        <v>0.94303619999999977</v>
      </c>
      <c r="N58" s="18">
        <f t="shared" si="13"/>
        <v>3.7721447999999991E-2</v>
      </c>
      <c r="O58" s="16">
        <f>0.071*2*0.282</f>
        <v>4.0043999999999989E-2</v>
      </c>
      <c r="P58" s="18">
        <f t="shared" si="14"/>
        <v>1.6017599999999996</v>
      </c>
    </row>
    <row r="59" spans="1:16" ht="36">
      <c r="A59" s="12">
        <v>58</v>
      </c>
      <c r="B59" s="2" t="s">
        <v>778</v>
      </c>
      <c r="C59" s="2" t="s">
        <v>777</v>
      </c>
      <c r="D59" s="1" t="s">
        <v>400</v>
      </c>
      <c r="E59" s="13" t="s">
        <v>974</v>
      </c>
      <c r="F59" s="2" t="s">
        <v>355</v>
      </c>
      <c r="G59" s="12" t="s">
        <v>822</v>
      </c>
      <c r="H59" s="14" t="s">
        <v>823</v>
      </c>
      <c r="I59" s="3" t="s">
        <v>786</v>
      </c>
      <c r="J59" s="16">
        <f>JG</f>
        <v>3</v>
      </c>
      <c r="K59" s="13">
        <v>1</v>
      </c>
      <c r="L59" s="16">
        <f t="shared" si="12"/>
        <v>3</v>
      </c>
      <c r="M59" s="16">
        <f>0.096*0.27*0.006*7850</f>
        <v>1.2208320000000001</v>
      </c>
      <c r="N59" s="18">
        <f t="shared" si="13"/>
        <v>3.6624960000000003E-3</v>
      </c>
      <c r="O59" s="16">
        <f>0.096*2*0.27</f>
        <v>5.1840000000000004E-2</v>
      </c>
      <c r="P59" s="18">
        <f t="shared" si="14"/>
        <v>0.15552000000000002</v>
      </c>
    </row>
    <row r="60" spans="1:16" ht="36">
      <c r="A60" s="12">
        <v>59</v>
      </c>
      <c r="B60" s="2" t="s">
        <v>778</v>
      </c>
      <c r="C60" s="2" t="s">
        <v>777</v>
      </c>
      <c r="D60" s="1" t="s">
        <v>982</v>
      </c>
      <c r="E60" s="13" t="s">
        <v>971</v>
      </c>
      <c r="F60" s="2" t="s">
        <v>784</v>
      </c>
      <c r="G60" s="12" t="s">
        <v>822</v>
      </c>
      <c r="H60" s="14" t="s">
        <v>823</v>
      </c>
      <c r="I60" s="3">
        <v>6</v>
      </c>
      <c r="J60" s="16">
        <f>JG</f>
        <v>6</v>
      </c>
      <c r="K60" s="13">
        <v>8</v>
      </c>
      <c r="L60" s="16">
        <f t="shared" si="12"/>
        <v>48</v>
      </c>
      <c r="M60" s="16">
        <v>36.700000000000003</v>
      </c>
      <c r="N60" s="18">
        <f t="shared" si="13"/>
        <v>1.7616000000000003</v>
      </c>
      <c r="O60" s="16">
        <v>1.1599999999999999</v>
      </c>
      <c r="P60" s="18">
        <f t="shared" si="14"/>
        <v>55.679999999999993</v>
      </c>
    </row>
    <row r="61" spans="1:16" ht="36">
      <c r="A61" s="12">
        <v>60</v>
      </c>
      <c r="B61" s="2" t="s">
        <v>778</v>
      </c>
      <c r="C61" s="2" t="s">
        <v>777</v>
      </c>
      <c r="D61" s="1" t="s">
        <v>249</v>
      </c>
      <c r="E61" s="13" t="s">
        <v>971</v>
      </c>
      <c r="F61" s="2" t="s">
        <v>784</v>
      </c>
      <c r="G61" s="12" t="s">
        <v>822</v>
      </c>
      <c r="H61" s="14" t="s">
        <v>823</v>
      </c>
      <c r="I61" s="3" t="s">
        <v>787</v>
      </c>
      <c r="J61" s="16">
        <f>JG</f>
        <v>5.8</v>
      </c>
      <c r="K61" s="13">
        <v>10</v>
      </c>
      <c r="L61" s="16">
        <f t="shared" si="12"/>
        <v>58</v>
      </c>
      <c r="M61" s="16">
        <v>36.700000000000003</v>
      </c>
      <c r="N61" s="18">
        <f t="shared" si="13"/>
        <v>2.1286000000000005</v>
      </c>
      <c r="O61" s="16">
        <v>1.1599999999999999</v>
      </c>
      <c r="P61" s="18">
        <f t="shared" si="14"/>
        <v>67.28</v>
      </c>
    </row>
    <row r="62" spans="1:16" ht="36">
      <c r="A62" s="12">
        <v>61</v>
      </c>
      <c r="B62" s="2" t="s">
        <v>778</v>
      </c>
      <c r="C62" s="2" t="s">
        <v>777</v>
      </c>
      <c r="D62" s="1" t="s">
        <v>400</v>
      </c>
      <c r="E62" s="13" t="s">
        <v>974</v>
      </c>
      <c r="F62" s="2" t="s">
        <v>302</v>
      </c>
      <c r="G62" s="12" t="s">
        <v>822</v>
      </c>
      <c r="H62" s="14" t="s">
        <v>823</v>
      </c>
      <c r="I62" s="3" t="s">
        <v>523</v>
      </c>
      <c r="J62" s="16">
        <f>JG</f>
        <v>24</v>
      </c>
      <c r="K62" s="13">
        <v>1</v>
      </c>
      <c r="L62" s="16">
        <f t="shared" si="12"/>
        <v>24</v>
      </c>
      <c r="M62" s="16">
        <f>0.095*0.422*0.0065*7850</f>
        <v>2.0455922499999999</v>
      </c>
      <c r="N62" s="18">
        <f t="shared" si="13"/>
        <v>4.9094213999999997E-2</v>
      </c>
      <c r="O62" s="16">
        <f>0.095*2*0.422</f>
        <v>8.0180000000000001E-2</v>
      </c>
      <c r="P62" s="18">
        <f t="shared" si="14"/>
        <v>1.92432</v>
      </c>
    </row>
    <row r="63" spans="1:16" ht="36">
      <c r="A63" s="12">
        <v>62</v>
      </c>
      <c r="B63" s="2" t="s">
        <v>778</v>
      </c>
      <c r="C63" s="2" t="s">
        <v>777</v>
      </c>
      <c r="D63" s="1" t="s">
        <v>983</v>
      </c>
      <c r="E63" s="13" t="s">
        <v>971</v>
      </c>
      <c r="F63" s="2" t="s">
        <v>308</v>
      </c>
      <c r="G63" s="12" t="s">
        <v>822</v>
      </c>
      <c r="H63" s="14" t="s">
        <v>823</v>
      </c>
      <c r="I63" s="3" t="s">
        <v>788</v>
      </c>
      <c r="J63" s="16">
        <f>JG</f>
        <v>8.66</v>
      </c>
      <c r="K63" s="13">
        <v>6</v>
      </c>
      <c r="L63" s="16">
        <f t="shared" si="12"/>
        <v>51.96</v>
      </c>
      <c r="M63" s="16">
        <v>74.900000000000006</v>
      </c>
      <c r="N63" s="18">
        <f t="shared" si="13"/>
        <v>3.8918040000000005</v>
      </c>
      <c r="O63" s="16">
        <v>1.66</v>
      </c>
      <c r="P63" s="18">
        <f t="shared" si="14"/>
        <v>86.253599999999992</v>
      </c>
    </row>
    <row r="64" spans="1:16" ht="36">
      <c r="A64" s="12">
        <v>63</v>
      </c>
      <c r="B64" s="2" t="s">
        <v>778</v>
      </c>
      <c r="C64" s="2" t="s">
        <v>777</v>
      </c>
      <c r="D64" s="1" t="s">
        <v>533</v>
      </c>
      <c r="E64" s="13" t="s">
        <v>973</v>
      </c>
      <c r="F64" s="2" t="s">
        <v>475</v>
      </c>
      <c r="G64" s="12" t="s">
        <v>822</v>
      </c>
      <c r="H64" s="14" t="s">
        <v>823</v>
      </c>
      <c r="I64" s="3" t="s">
        <v>759</v>
      </c>
      <c r="J64" s="16">
        <f>JG</f>
        <v>1.9209372712298547</v>
      </c>
      <c r="K64" s="13">
        <v>2</v>
      </c>
      <c r="L64" s="16">
        <f t="shared" si="12"/>
        <v>3.8418745424597094</v>
      </c>
      <c r="M64" s="16">
        <v>7.47</v>
      </c>
      <c r="N64" s="18">
        <f t="shared" si="13"/>
        <v>2.869880283217403E-2</v>
      </c>
      <c r="O64" s="16">
        <v>0.247</v>
      </c>
      <c r="P64" s="18">
        <f t="shared" si="14"/>
        <v>0.94894301198754816</v>
      </c>
    </row>
    <row r="65" spans="1:17" ht="36">
      <c r="A65" s="12">
        <v>64</v>
      </c>
      <c r="B65" s="2" t="s">
        <v>778</v>
      </c>
      <c r="C65" s="2" t="s">
        <v>777</v>
      </c>
      <c r="D65" s="1" t="s">
        <v>895</v>
      </c>
      <c r="E65" s="13" t="s">
        <v>972</v>
      </c>
      <c r="F65" s="2" t="s">
        <v>31</v>
      </c>
      <c r="G65" s="12" t="s">
        <v>822</v>
      </c>
      <c r="H65" s="14" t="s">
        <v>823</v>
      </c>
      <c r="I65" s="3" t="s">
        <v>177</v>
      </c>
      <c r="J65" s="16">
        <f>JG</f>
        <v>4.2426406871192848</v>
      </c>
      <c r="K65" s="13">
        <v>26</v>
      </c>
      <c r="L65" s="16">
        <f t="shared" si="12"/>
        <v>110.30865786510141</v>
      </c>
      <c r="M65" s="16">
        <v>14.5</v>
      </c>
      <c r="N65" s="18">
        <f t="shared" si="13"/>
        <v>1.5994755390439706</v>
      </c>
      <c r="O65" s="16">
        <v>0.49299999999999999</v>
      </c>
      <c r="P65" s="18">
        <f t="shared" si="14"/>
        <v>54.382168327494995</v>
      </c>
    </row>
    <row r="66" spans="1:17" ht="24">
      <c r="A66" s="12">
        <v>65</v>
      </c>
      <c r="C66" s="2" t="s">
        <v>789</v>
      </c>
      <c r="D66" s="1" t="s">
        <v>428</v>
      </c>
      <c r="E66" s="13" t="s">
        <v>971</v>
      </c>
      <c r="F66" s="2" t="s">
        <v>82</v>
      </c>
      <c r="G66" s="12" t="s">
        <v>822</v>
      </c>
      <c r="H66" s="14" t="s">
        <v>823</v>
      </c>
      <c r="I66" s="3" t="s">
        <v>451</v>
      </c>
      <c r="J66" s="16">
        <f>JG</f>
        <v>9.0686272390037068</v>
      </c>
      <c r="K66" s="13">
        <v>2</v>
      </c>
      <c r="L66" s="16">
        <f t="shared" si="12"/>
        <v>18.137254478007414</v>
      </c>
      <c r="M66" s="16">
        <v>49.9</v>
      </c>
      <c r="N66" s="18">
        <f t="shared" si="13"/>
        <v>0.90504899845256992</v>
      </c>
      <c r="O66" s="16">
        <v>1.1599999999999999</v>
      </c>
      <c r="P66" s="18">
        <f t="shared" si="14"/>
        <v>21.039215194488598</v>
      </c>
      <c r="Q66" s="13" t="s">
        <v>85</v>
      </c>
    </row>
    <row r="67" spans="1:17" ht="24">
      <c r="A67" s="12">
        <v>66</v>
      </c>
      <c r="C67" s="2" t="s">
        <v>790</v>
      </c>
      <c r="D67" s="1" t="s">
        <v>428</v>
      </c>
      <c r="E67" s="13" t="s">
        <v>971</v>
      </c>
      <c r="F67" s="2" t="s">
        <v>82</v>
      </c>
      <c r="G67" s="12" t="s">
        <v>822</v>
      </c>
      <c r="H67" s="14" t="s">
        <v>823</v>
      </c>
      <c r="I67" s="3" t="s">
        <v>451</v>
      </c>
      <c r="J67" s="16">
        <f>JG</f>
        <v>9.0686272390037068</v>
      </c>
      <c r="K67" s="13">
        <v>2</v>
      </c>
      <c r="L67" s="16">
        <f t="shared" si="12"/>
        <v>18.137254478007414</v>
      </c>
      <c r="M67" s="16">
        <v>49.9</v>
      </c>
      <c r="N67" s="18">
        <f t="shared" si="13"/>
        <v>0.90504899845256992</v>
      </c>
      <c r="O67" s="16">
        <v>1.1599999999999999</v>
      </c>
      <c r="P67" s="18">
        <f t="shared" si="14"/>
        <v>21.039215194488598</v>
      </c>
      <c r="Q67" s="13" t="s">
        <v>85</v>
      </c>
    </row>
    <row r="68" spans="1:17" ht="24">
      <c r="A68" s="12">
        <v>67</v>
      </c>
      <c r="C68" s="2" t="s">
        <v>791</v>
      </c>
      <c r="D68" s="1" t="s">
        <v>472</v>
      </c>
      <c r="E68" s="13" t="s">
        <v>973</v>
      </c>
      <c r="F68" s="2" t="s">
        <v>475</v>
      </c>
      <c r="G68" s="12" t="s">
        <v>822</v>
      </c>
      <c r="H68" s="14" t="s">
        <v>823</v>
      </c>
      <c r="I68" s="3" t="s">
        <v>792</v>
      </c>
      <c r="J68" s="16">
        <f>JG</f>
        <v>1.697056274847714</v>
      </c>
      <c r="K68" s="13">
        <v>2</v>
      </c>
      <c r="L68" s="16">
        <f t="shared" si="12"/>
        <v>3.3941125496954281</v>
      </c>
      <c r="M68" s="16">
        <v>7.47</v>
      </c>
      <c r="N68" s="18">
        <f t="shared" si="13"/>
        <v>2.5354020746224847E-2</v>
      </c>
      <c r="O68" s="16">
        <v>0.247</v>
      </c>
      <c r="P68" s="18">
        <f t="shared" si="14"/>
        <v>0.83834579977477075</v>
      </c>
    </row>
    <row r="69" spans="1:17" ht="36">
      <c r="A69" s="12">
        <v>68</v>
      </c>
      <c r="B69" s="2" t="s">
        <v>743</v>
      </c>
      <c r="C69" s="2" t="s">
        <v>793</v>
      </c>
      <c r="D69" s="1" t="s">
        <v>975</v>
      </c>
      <c r="E69" s="13" t="s">
        <v>971</v>
      </c>
      <c r="F69" s="2" t="s">
        <v>82</v>
      </c>
      <c r="G69" s="12" t="s">
        <v>822</v>
      </c>
      <c r="H69" s="14" t="s">
        <v>823</v>
      </c>
      <c r="I69" s="3" t="s">
        <v>1040</v>
      </c>
      <c r="J69" s="16">
        <f>JG</f>
        <v>132.47999999999993</v>
      </c>
      <c r="K69" s="13">
        <v>1</v>
      </c>
      <c r="L69" s="16">
        <f t="shared" si="12"/>
        <v>132.47999999999993</v>
      </c>
      <c r="M69" s="16">
        <v>49.9</v>
      </c>
      <c r="N69" s="18">
        <f t="shared" si="13"/>
        <v>6.6107519999999971</v>
      </c>
      <c r="O69" s="16">
        <v>1.1599999999999999</v>
      </c>
      <c r="P69" s="18">
        <f t="shared" si="14"/>
        <v>153.6767999999999</v>
      </c>
    </row>
    <row r="70" spans="1:17" ht="24">
      <c r="A70" s="12">
        <v>69</v>
      </c>
      <c r="B70" s="2" t="s">
        <v>741</v>
      </c>
      <c r="C70" s="2" t="s">
        <v>793</v>
      </c>
      <c r="D70" s="1" t="s">
        <v>909</v>
      </c>
      <c r="E70" s="13" t="s">
        <v>974</v>
      </c>
      <c r="F70" s="2" t="s">
        <v>1077</v>
      </c>
      <c r="G70" s="12" t="s">
        <v>969</v>
      </c>
      <c r="H70" s="14" t="s">
        <v>970</v>
      </c>
      <c r="I70" s="3">
        <v>1</v>
      </c>
      <c r="J70" s="16">
        <f>JG</f>
        <v>1</v>
      </c>
      <c r="K70" s="13">
        <v>1</v>
      </c>
      <c r="L70" s="16">
        <f t="shared" ref="L70:L72" si="15">J70*K70</f>
        <v>1</v>
      </c>
      <c r="M70" s="16">
        <f>0.48*0.4*0.03*7850</f>
        <v>45.215999999999994</v>
      </c>
      <c r="N70" s="18">
        <f t="shared" ref="N70:N72" si="16">L70*M70*0.001</f>
        <v>4.5215999999999992E-2</v>
      </c>
      <c r="O70" s="16">
        <f>0.48*0.4</f>
        <v>0.192</v>
      </c>
      <c r="P70" s="18">
        <f t="shared" ref="P70:P72" si="17">O70*L70</f>
        <v>0.192</v>
      </c>
    </row>
    <row r="71" spans="1:17" ht="24">
      <c r="A71" s="12">
        <v>70</v>
      </c>
      <c r="B71" s="2" t="s">
        <v>741</v>
      </c>
      <c r="C71" s="2" t="s">
        <v>793</v>
      </c>
      <c r="D71" s="1" t="s">
        <v>909</v>
      </c>
      <c r="E71" s="13" t="s">
        <v>974</v>
      </c>
      <c r="F71" s="2" t="s">
        <v>712</v>
      </c>
      <c r="G71" s="12" t="s">
        <v>969</v>
      </c>
      <c r="H71" s="14" t="s">
        <v>970</v>
      </c>
      <c r="I71" s="3">
        <v>4</v>
      </c>
      <c r="J71" s="16">
        <f>JG</f>
        <v>4</v>
      </c>
      <c r="K71" s="13">
        <v>1</v>
      </c>
      <c r="L71" s="16">
        <f t="shared" si="15"/>
        <v>4</v>
      </c>
      <c r="M71" s="16"/>
      <c r="N71" s="18">
        <f t="shared" si="16"/>
        <v>0</v>
      </c>
      <c r="O71" s="16"/>
      <c r="P71" s="18">
        <f t="shared" si="17"/>
        <v>0</v>
      </c>
    </row>
    <row r="72" spans="1:17" ht="24">
      <c r="A72" s="12">
        <v>71</v>
      </c>
      <c r="B72" s="2" t="s">
        <v>741</v>
      </c>
      <c r="C72" s="2" t="s">
        <v>793</v>
      </c>
      <c r="D72" s="1" t="s">
        <v>909</v>
      </c>
      <c r="E72" s="13" t="s">
        <v>974</v>
      </c>
      <c r="F72" s="2" t="s">
        <v>712</v>
      </c>
      <c r="G72" s="12" t="s">
        <v>969</v>
      </c>
      <c r="H72" s="14" t="s">
        <v>970</v>
      </c>
      <c r="I72" s="3">
        <v>6</v>
      </c>
      <c r="J72" s="16">
        <f>JG</f>
        <v>6</v>
      </c>
      <c r="K72" s="13">
        <v>1</v>
      </c>
      <c r="L72" s="16">
        <f t="shared" si="15"/>
        <v>6</v>
      </c>
      <c r="M72" s="16"/>
      <c r="N72" s="18">
        <f t="shared" si="16"/>
        <v>0</v>
      </c>
      <c r="O72" s="16"/>
      <c r="P72" s="18">
        <f t="shared" si="17"/>
        <v>0</v>
      </c>
    </row>
    <row r="73" spans="1:17" ht="36">
      <c r="A73" s="12">
        <v>72</v>
      </c>
      <c r="B73" s="2" t="s">
        <v>807</v>
      </c>
      <c r="C73" s="2" t="s">
        <v>794</v>
      </c>
      <c r="D73" s="1" t="s">
        <v>738</v>
      </c>
      <c r="E73" s="13" t="s">
        <v>971</v>
      </c>
      <c r="F73" s="2" t="s">
        <v>795</v>
      </c>
      <c r="G73" s="12" t="s">
        <v>822</v>
      </c>
      <c r="H73" s="14" t="s">
        <v>823</v>
      </c>
      <c r="I73" s="3" t="s">
        <v>796</v>
      </c>
      <c r="J73" s="16">
        <f>JG</f>
        <v>28.425000000000001</v>
      </c>
      <c r="K73" s="13">
        <v>1</v>
      </c>
      <c r="L73" s="16">
        <f t="shared" ref="L73:L104" si="18">J73*K73</f>
        <v>28.425000000000001</v>
      </c>
      <c r="M73" s="16">
        <v>14</v>
      </c>
      <c r="N73" s="18">
        <f t="shared" ref="N73:N104" si="19">L73*M73*0.001</f>
        <v>0.39794999999999997</v>
      </c>
      <c r="O73" s="16">
        <v>0.57599999999999996</v>
      </c>
      <c r="P73" s="18">
        <f t="shared" ref="P73:P104" si="20">O73*L73</f>
        <v>16.372799999999998</v>
      </c>
    </row>
    <row r="74" spans="1:17" ht="36">
      <c r="A74" s="12">
        <v>73</v>
      </c>
      <c r="B74" s="2" t="s">
        <v>807</v>
      </c>
      <c r="C74" s="2" t="s">
        <v>794</v>
      </c>
      <c r="D74" s="1" t="s">
        <v>400</v>
      </c>
      <c r="E74" s="13" t="s">
        <v>974</v>
      </c>
      <c r="F74" s="2" t="s">
        <v>245</v>
      </c>
      <c r="G74" s="12" t="s">
        <v>822</v>
      </c>
      <c r="H74" s="14" t="s">
        <v>823</v>
      </c>
      <c r="I74" s="3" t="s">
        <v>797</v>
      </c>
      <c r="J74" s="16">
        <f>JG</f>
        <v>16</v>
      </c>
      <c r="K74" s="13">
        <v>1</v>
      </c>
      <c r="L74" s="16">
        <f t="shared" si="18"/>
        <v>16</v>
      </c>
      <c r="M74" s="16">
        <f>0.071*0.282*0.005*7850</f>
        <v>0.78586349999999983</v>
      </c>
      <c r="N74" s="18">
        <f t="shared" si="19"/>
        <v>1.2573815999999998E-2</v>
      </c>
      <c r="O74" s="16">
        <f>0.071*2*0.282</f>
        <v>4.0043999999999989E-2</v>
      </c>
      <c r="P74" s="18">
        <f t="shared" si="20"/>
        <v>0.64070399999999983</v>
      </c>
    </row>
    <row r="75" spans="1:17" ht="36">
      <c r="A75" s="12">
        <v>74</v>
      </c>
      <c r="B75" s="2" t="s">
        <v>807</v>
      </c>
      <c r="C75" s="2" t="s">
        <v>794</v>
      </c>
      <c r="D75" s="1" t="s">
        <v>400</v>
      </c>
      <c r="E75" s="13" t="s">
        <v>974</v>
      </c>
      <c r="F75" s="2" t="s">
        <v>798</v>
      </c>
      <c r="G75" s="12" t="s">
        <v>822</v>
      </c>
      <c r="H75" s="14" t="s">
        <v>823</v>
      </c>
      <c r="I75" s="3" t="s">
        <v>248</v>
      </c>
      <c r="J75" s="16">
        <f>JG</f>
        <v>6</v>
      </c>
      <c r="K75" s="13">
        <v>1</v>
      </c>
      <c r="L75" s="16">
        <f t="shared" si="18"/>
        <v>6</v>
      </c>
      <c r="M75" s="16">
        <f>0.084*0.328*0.005*7850</f>
        <v>1.0814160000000002</v>
      </c>
      <c r="N75" s="18">
        <f t="shared" si="19"/>
        <v>6.4884960000000016E-3</v>
      </c>
      <c r="O75" s="16">
        <f>0.084*2*0.328</f>
        <v>5.5104000000000007E-2</v>
      </c>
      <c r="P75" s="18">
        <f t="shared" si="20"/>
        <v>0.33062400000000003</v>
      </c>
    </row>
    <row r="76" spans="1:17" ht="36">
      <c r="A76" s="12">
        <v>75</v>
      </c>
      <c r="B76" s="2" t="s">
        <v>807</v>
      </c>
      <c r="C76" s="2" t="s">
        <v>794</v>
      </c>
      <c r="D76" s="1" t="s">
        <v>249</v>
      </c>
      <c r="E76" s="13" t="s">
        <v>971</v>
      </c>
      <c r="F76" s="2" t="s">
        <v>252</v>
      </c>
      <c r="G76" s="12" t="s">
        <v>822</v>
      </c>
      <c r="H76" s="14" t="s">
        <v>823</v>
      </c>
      <c r="I76" s="3" t="s">
        <v>800</v>
      </c>
      <c r="J76" s="16">
        <f>JG</f>
        <v>4.8499999999999996</v>
      </c>
      <c r="K76" s="13">
        <v>4</v>
      </c>
      <c r="L76" s="16">
        <f t="shared" si="18"/>
        <v>19.399999999999999</v>
      </c>
      <c r="M76" s="16">
        <v>36.700000000000003</v>
      </c>
      <c r="N76" s="18">
        <f t="shared" si="19"/>
        <v>0.71198000000000006</v>
      </c>
      <c r="O76" s="16">
        <v>1.1599999999999999</v>
      </c>
      <c r="P76" s="18">
        <f t="shared" si="20"/>
        <v>22.503999999999998</v>
      </c>
    </row>
    <row r="77" spans="1:17" ht="36">
      <c r="A77" s="12">
        <v>76</v>
      </c>
      <c r="B77" s="2" t="s">
        <v>807</v>
      </c>
      <c r="C77" s="2" t="s">
        <v>794</v>
      </c>
      <c r="D77" s="1" t="s">
        <v>400</v>
      </c>
      <c r="E77" s="13" t="s">
        <v>974</v>
      </c>
      <c r="F77" s="2" t="s">
        <v>299</v>
      </c>
      <c r="G77" s="12" t="s">
        <v>822</v>
      </c>
      <c r="H77" s="14" t="s">
        <v>823</v>
      </c>
      <c r="I77" s="3" t="s">
        <v>344</v>
      </c>
      <c r="J77" s="16">
        <f>JG</f>
        <v>16</v>
      </c>
      <c r="K77" s="13">
        <v>1</v>
      </c>
      <c r="L77" s="16">
        <f t="shared" si="18"/>
        <v>16</v>
      </c>
      <c r="M77" s="16">
        <f>0.071*0.282*0.0065*7850</f>
        <v>1.0216225499999998</v>
      </c>
      <c r="N77" s="18">
        <f t="shared" si="19"/>
        <v>1.6345960799999996E-2</v>
      </c>
      <c r="O77" s="16">
        <f>0.071*2*0.282</f>
        <v>4.0043999999999989E-2</v>
      </c>
      <c r="P77" s="18">
        <f t="shared" si="20"/>
        <v>0.64070399999999983</v>
      </c>
    </row>
    <row r="78" spans="1:17" ht="36">
      <c r="A78" s="12">
        <v>77</v>
      </c>
      <c r="B78" s="2" t="s">
        <v>807</v>
      </c>
      <c r="C78" s="2" t="s">
        <v>794</v>
      </c>
      <c r="D78" s="1" t="s">
        <v>982</v>
      </c>
      <c r="E78" s="13" t="s">
        <v>971</v>
      </c>
      <c r="F78" s="2" t="s">
        <v>252</v>
      </c>
      <c r="G78" s="12" t="s">
        <v>822</v>
      </c>
      <c r="H78" s="14" t="s">
        <v>823</v>
      </c>
      <c r="I78" s="3">
        <v>6</v>
      </c>
      <c r="J78" s="16">
        <f>JG</f>
        <v>6</v>
      </c>
      <c r="K78" s="13">
        <v>8</v>
      </c>
      <c r="L78" s="16">
        <f t="shared" si="18"/>
        <v>48</v>
      </c>
      <c r="M78" s="16">
        <v>36.700000000000003</v>
      </c>
      <c r="N78" s="18">
        <f t="shared" si="19"/>
        <v>1.7616000000000003</v>
      </c>
      <c r="O78" s="16">
        <v>1.1599999999999999</v>
      </c>
      <c r="P78" s="18">
        <f t="shared" si="20"/>
        <v>55.679999999999993</v>
      </c>
    </row>
    <row r="79" spans="1:17" ht="36">
      <c r="A79" s="12">
        <v>78</v>
      </c>
      <c r="B79" s="2" t="s">
        <v>807</v>
      </c>
      <c r="C79" s="2" t="s">
        <v>794</v>
      </c>
      <c r="D79" s="1" t="s">
        <v>920</v>
      </c>
      <c r="E79" s="13" t="s">
        <v>971</v>
      </c>
      <c r="F79" s="2" t="s">
        <v>252</v>
      </c>
      <c r="G79" s="12" t="s">
        <v>822</v>
      </c>
      <c r="H79" s="14" t="s">
        <v>823</v>
      </c>
      <c r="I79" s="3" t="s">
        <v>801</v>
      </c>
      <c r="J79" s="16">
        <f>JG</f>
        <v>4.8</v>
      </c>
      <c r="K79" s="13">
        <v>4</v>
      </c>
      <c r="L79" s="16">
        <f t="shared" si="18"/>
        <v>19.2</v>
      </c>
      <c r="M79" s="16">
        <v>36.700000000000003</v>
      </c>
      <c r="N79" s="18">
        <f t="shared" si="19"/>
        <v>0.70464000000000004</v>
      </c>
      <c r="O79" s="16">
        <v>1.1599999999999999</v>
      </c>
      <c r="P79" s="18">
        <f t="shared" si="20"/>
        <v>22.271999999999998</v>
      </c>
    </row>
    <row r="80" spans="1:17" ht="36">
      <c r="A80" s="12">
        <v>79</v>
      </c>
      <c r="B80" s="2" t="s">
        <v>807</v>
      </c>
      <c r="C80" s="2" t="s">
        <v>794</v>
      </c>
      <c r="D80" s="1" t="s">
        <v>984</v>
      </c>
      <c r="E80" s="13" t="s">
        <v>971</v>
      </c>
      <c r="F80" s="2" t="s">
        <v>802</v>
      </c>
      <c r="G80" s="12" t="s">
        <v>822</v>
      </c>
      <c r="H80" s="14" t="s">
        <v>823</v>
      </c>
      <c r="I80" s="3" t="s">
        <v>803</v>
      </c>
      <c r="J80" s="16">
        <f>JG</f>
        <v>4.8250000000000002</v>
      </c>
      <c r="K80" s="13">
        <v>1</v>
      </c>
      <c r="L80" s="16">
        <f t="shared" si="18"/>
        <v>4.8250000000000002</v>
      </c>
      <c r="M80" s="16">
        <v>49.4</v>
      </c>
      <c r="N80" s="18">
        <f t="shared" si="19"/>
        <v>0.23835499999999998</v>
      </c>
      <c r="O80" s="16">
        <v>1.36</v>
      </c>
      <c r="P80" s="18">
        <f t="shared" si="20"/>
        <v>6.5620000000000003</v>
      </c>
    </row>
    <row r="81" spans="1:16" ht="36">
      <c r="A81" s="12">
        <v>80</v>
      </c>
      <c r="B81" s="2" t="s">
        <v>807</v>
      </c>
      <c r="C81" s="2" t="s">
        <v>794</v>
      </c>
      <c r="D81" s="1" t="s">
        <v>400</v>
      </c>
      <c r="E81" s="13" t="s">
        <v>974</v>
      </c>
      <c r="F81" s="2" t="s">
        <v>804</v>
      </c>
      <c r="G81" s="12" t="s">
        <v>822</v>
      </c>
      <c r="H81" s="14" t="s">
        <v>823</v>
      </c>
      <c r="I81" s="3">
        <v>4</v>
      </c>
      <c r="J81" s="16">
        <f>JG</f>
        <v>4</v>
      </c>
      <c r="K81" s="13">
        <v>1</v>
      </c>
      <c r="L81" s="16">
        <f t="shared" si="18"/>
        <v>4</v>
      </c>
      <c r="M81" s="16">
        <f>0.084*0.328*0.007*7850</f>
        <v>1.5139824000000002</v>
      </c>
      <c r="N81" s="18">
        <f t="shared" si="19"/>
        <v>6.0559296000000009E-3</v>
      </c>
      <c r="O81" s="16">
        <f>0.084*2*0.328</f>
        <v>5.5104000000000007E-2</v>
      </c>
      <c r="P81" s="18">
        <f t="shared" si="20"/>
        <v>0.22041600000000003</v>
      </c>
    </row>
    <row r="82" spans="1:16" ht="36">
      <c r="A82" s="12">
        <v>81</v>
      </c>
      <c r="B82" s="2" t="s">
        <v>807</v>
      </c>
      <c r="C82" s="2" t="s">
        <v>794</v>
      </c>
      <c r="D82" s="1" t="s">
        <v>985</v>
      </c>
      <c r="E82" s="13" t="s">
        <v>971</v>
      </c>
      <c r="F82" s="2" t="s">
        <v>261</v>
      </c>
      <c r="G82" s="12" t="s">
        <v>822</v>
      </c>
      <c r="H82" s="14" t="s">
        <v>823</v>
      </c>
      <c r="I82" s="3">
        <v>6</v>
      </c>
      <c r="J82" s="16">
        <f>JG</f>
        <v>6</v>
      </c>
      <c r="K82" s="13">
        <v>2</v>
      </c>
      <c r="L82" s="16">
        <f t="shared" si="18"/>
        <v>12</v>
      </c>
      <c r="M82" s="16">
        <v>49.4</v>
      </c>
      <c r="N82" s="18">
        <f t="shared" si="19"/>
        <v>0.59279999999999999</v>
      </c>
      <c r="O82" s="16">
        <v>1.36</v>
      </c>
      <c r="P82" s="18">
        <f t="shared" si="20"/>
        <v>16.32</v>
      </c>
    </row>
    <row r="83" spans="1:16" ht="36">
      <c r="A83" s="12">
        <v>82</v>
      </c>
      <c r="B83" s="2" t="s">
        <v>807</v>
      </c>
      <c r="C83" s="2" t="s">
        <v>794</v>
      </c>
      <c r="D83" s="1" t="s">
        <v>986</v>
      </c>
      <c r="E83" s="13" t="s">
        <v>971</v>
      </c>
      <c r="F83" s="2" t="s">
        <v>261</v>
      </c>
      <c r="G83" s="12" t="s">
        <v>822</v>
      </c>
      <c r="H83" s="14" t="s">
        <v>823</v>
      </c>
      <c r="I83" s="3" t="s">
        <v>805</v>
      </c>
      <c r="J83" s="16">
        <f>JG</f>
        <v>4.8</v>
      </c>
      <c r="K83" s="13">
        <v>2</v>
      </c>
      <c r="L83" s="16">
        <f t="shared" si="18"/>
        <v>9.6</v>
      </c>
      <c r="M83" s="16">
        <v>49.4</v>
      </c>
      <c r="N83" s="18">
        <f t="shared" si="19"/>
        <v>0.47423999999999994</v>
      </c>
      <c r="O83" s="16">
        <v>1.36</v>
      </c>
      <c r="P83" s="18">
        <f t="shared" si="20"/>
        <v>13.056000000000001</v>
      </c>
    </row>
    <row r="84" spans="1:16" ht="36">
      <c r="A84" s="12">
        <v>83</v>
      </c>
      <c r="B84" s="2" t="s">
        <v>807</v>
      </c>
      <c r="C84" s="2" t="s">
        <v>794</v>
      </c>
      <c r="D84" s="1" t="s">
        <v>895</v>
      </c>
      <c r="E84" s="13" t="s">
        <v>972</v>
      </c>
      <c r="F84" s="2" t="s">
        <v>31</v>
      </c>
      <c r="G84" s="12" t="s">
        <v>822</v>
      </c>
      <c r="H84" s="14" t="s">
        <v>823</v>
      </c>
      <c r="I84" s="3" t="s">
        <v>806</v>
      </c>
      <c r="J84" s="16">
        <f>JG</f>
        <v>3.905124837953327</v>
      </c>
      <c r="K84" s="13">
        <v>20</v>
      </c>
      <c r="L84" s="16">
        <f t="shared" si="18"/>
        <v>78.10249675906654</v>
      </c>
      <c r="M84" s="16">
        <v>14.5</v>
      </c>
      <c r="N84" s="18">
        <f t="shared" si="19"/>
        <v>1.1324862030064649</v>
      </c>
      <c r="O84" s="16">
        <v>0.49299999999999999</v>
      </c>
      <c r="P84" s="18">
        <f t="shared" si="20"/>
        <v>38.504530902219805</v>
      </c>
    </row>
    <row r="85" spans="1:16" ht="36">
      <c r="A85" s="12">
        <v>84</v>
      </c>
      <c r="B85" s="2" t="s">
        <v>510</v>
      </c>
      <c r="C85" s="2" t="s">
        <v>810</v>
      </c>
      <c r="D85" s="1" t="s">
        <v>811</v>
      </c>
      <c r="E85" s="13" t="s">
        <v>971</v>
      </c>
      <c r="F85" s="2" t="s">
        <v>226</v>
      </c>
      <c r="G85" s="12" t="s">
        <v>822</v>
      </c>
      <c r="H85" s="14" t="s">
        <v>823</v>
      </c>
      <c r="I85" s="3">
        <v>1.68</v>
      </c>
      <c r="J85" s="16">
        <f>JG</f>
        <v>1.68</v>
      </c>
      <c r="K85" s="13">
        <v>2</v>
      </c>
      <c r="L85" s="16">
        <f t="shared" si="18"/>
        <v>3.36</v>
      </c>
      <c r="M85" s="16">
        <v>29.9</v>
      </c>
      <c r="N85" s="18">
        <f t="shared" si="19"/>
        <v>0.10046399999999998</v>
      </c>
      <c r="O85" s="16">
        <v>0.96199999999999997</v>
      </c>
      <c r="P85" s="18">
        <f t="shared" si="20"/>
        <v>3.2323199999999996</v>
      </c>
    </row>
    <row r="86" spans="1:16" ht="36">
      <c r="A86" s="12">
        <v>85</v>
      </c>
      <c r="B86" s="2" t="s">
        <v>510</v>
      </c>
      <c r="C86" s="2" t="s">
        <v>810</v>
      </c>
      <c r="D86" s="1" t="s">
        <v>812</v>
      </c>
      <c r="E86" s="13" t="s">
        <v>971</v>
      </c>
      <c r="F86" s="2" t="s">
        <v>226</v>
      </c>
      <c r="G86" s="12" t="s">
        <v>822</v>
      </c>
      <c r="H86" s="14" t="s">
        <v>823</v>
      </c>
      <c r="I86" s="3" t="s">
        <v>294</v>
      </c>
      <c r="J86" s="16">
        <f>JG</f>
        <v>4.8499999999999996</v>
      </c>
      <c r="K86" s="13">
        <v>2</v>
      </c>
      <c r="L86" s="16">
        <f t="shared" si="18"/>
        <v>9.6999999999999993</v>
      </c>
      <c r="M86" s="16">
        <v>29.9</v>
      </c>
      <c r="N86" s="18">
        <f t="shared" si="19"/>
        <v>0.29002999999999995</v>
      </c>
      <c r="O86" s="16">
        <v>0.96199999999999997</v>
      </c>
      <c r="P86" s="18">
        <f t="shared" si="20"/>
        <v>9.3313999999999986</v>
      </c>
    </row>
    <row r="87" spans="1:16" ht="36">
      <c r="A87" s="12">
        <v>86</v>
      </c>
      <c r="B87" s="2" t="s">
        <v>510</v>
      </c>
      <c r="C87" s="2" t="s">
        <v>810</v>
      </c>
      <c r="D87" s="1" t="s">
        <v>400</v>
      </c>
      <c r="E87" s="13" t="s">
        <v>974</v>
      </c>
      <c r="F87" s="2" t="s">
        <v>227</v>
      </c>
      <c r="G87" s="12" t="s">
        <v>822</v>
      </c>
      <c r="H87" s="14" t="s">
        <v>823</v>
      </c>
      <c r="I87" s="3" t="s">
        <v>301</v>
      </c>
      <c r="J87" s="16">
        <f>JG</f>
        <v>8</v>
      </c>
      <c r="K87" s="13">
        <v>1</v>
      </c>
      <c r="L87" s="16">
        <f t="shared" si="18"/>
        <v>8</v>
      </c>
      <c r="M87" s="16">
        <f>0.072*0.176*0.006*7850</f>
        <v>0.59685119999999992</v>
      </c>
      <c r="N87" s="18">
        <f t="shared" si="19"/>
        <v>4.774809599999999E-3</v>
      </c>
      <c r="O87" s="16">
        <f>0.072*2*0.176</f>
        <v>2.5343999999999995E-2</v>
      </c>
      <c r="P87" s="18">
        <f t="shared" si="20"/>
        <v>0.20275199999999996</v>
      </c>
    </row>
    <row r="88" spans="1:16" ht="36">
      <c r="A88" s="12">
        <v>87</v>
      </c>
      <c r="B88" s="2" t="s">
        <v>510</v>
      </c>
      <c r="C88" s="2" t="s">
        <v>810</v>
      </c>
      <c r="D88" s="1" t="s">
        <v>738</v>
      </c>
      <c r="E88" s="13" t="s">
        <v>971</v>
      </c>
      <c r="F88" s="2" t="s">
        <v>237</v>
      </c>
      <c r="G88" s="12" t="s">
        <v>822</v>
      </c>
      <c r="H88" s="14" t="s">
        <v>823</v>
      </c>
      <c r="I88" s="3" t="s">
        <v>816</v>
      </c>
      <c r="J88" s="16">
        <f>JG</f>
        <v>0.4</v>
      </c>
      <c r="K88" s="13">
        <v>1</v>
      </c>
      <c r="L88" s="16">
        <f t="shared" si="18"/>
        <v>0.4</v>
      </c>
      <c r="M88" s="16">
        <v>14</v>
      </c>
      <c r="N88" s="18">
        <f t="shared" si="19"/>
        <v>5.6000000000000008E-3</v>
      </c>
      <c r="O88" s="16">
        <v>0.57599999999999996</v>
      </c>
      <c r="P88" s="18">
        <f t="shared" si="20"/>
        <v>0.23039999999999999</v>
      </c>
    </row>
    <row r="89" spans="1:16" ht="36">
      <c r="A89" s="12">
        <v>88</v>
      </c>
      <c r="B89" s="2" t="s">
        <v>510</v>
      </c>
      <c r="C89" s="2" t="s">
        <v>810</v>
      </c>
      <c r="D89" s="1" t="s">
        <v>400</v>
      </c>
      <c r="E89" s="13" t="s">
        <v>974</v>
      </c>
      <c r="F89" s="2" t="s">
        <v>239</v>
      </c>
      <c r="G89" s="12" t="s">
        <v>822</v>
      </c>
      <c r="H89" s="14" t="s">
        <v>823</v>
      </c>
      <c r="I89" s="3">
        <v>4</v>
      </c>
      <c r="J89" s="16">
        <f>JG</f>
        <v>4</v>
      </c>
      <c r="K89" s="13">
        <v>1</v>
      </c>
      <c r="L89" s="16">
        <f t="shared" si="18"/>
        <v>4</v>
      </c>
      <c r="M89" s="16">
        <f>0.072*0.176*0.005*7850</f>
        <v>0.49737599999999993</v>
      </c>
      <c r="N89" s="18">
        <f t="shared" si="19"/>
        <v>1.9895039999999996E-3</v>
      </c>
      <c r="O89" s="16">
        <f>0.072*2*0.176</f>
        <v>2.5343999999999995E-2</v>
      </c>
      <c r="P89" s="18">
        <f t="shared" si="20"/>
        <v>0.10137599999999998</v>
      </c>
    </row>
    <row r="90" spans="1:16" ht="36">
      <c r="A90" s="12">
        <v>89</v>
      </c>
      <c r="B90" s="2" t="s">
        <v>510</v>
      </c>
      <c r="C90" s="2" t="s">
        <v>810</v>
      </c>
      <c r="D90" s="1" t="s">
        <v>533</v>
      </c>
      <c r="E90" s="13" t="s">
        <v>973</v>
      </c>
      <c r="F90" s="2" t="s">
        <v>818</v>
      </c>
      <c r="G90" s="12" t="s">
        <v>822</v>
      </c>
      <c r="H90" s="14" t="s">
        <v>823</v>
      </c>
      <c r="I90" s="3" t="s">
        <v>583</v>
      </c>
      <c r="J90" s="16">
        <f>JG</f>
        <v>1.4142135623730951</v>
      </c>
      <c r="K90" s="13">
        <v>2</v>
      </c>
      <c r="L90" s="16">
        <f t="shared" si="18"/>
        <v>2.8284271247461903</v>
      </c>
      <c r="M90" s="16">
        <v>7.47</v>
      </c>
      <c r="N90" s="18">
        <f t="shared" si="19"/>
        <v>2.1128350621854041E-2</v>
      </c>
      <c r="O90" s="16">
        <v>0.247</v>
      </c>
      <c r="P90" s="18">
        <f t="shared" si="20"/>
        <v>0.69862149981230903</v>
      </c>
    </row>
    <row r="91" spans="1:16" ht="36">
      <c r="A91" s="12">
        <v>90</v>
      </c>
      <c r="B91" s="2" t="s">
        <v>539</v>
      </c>
      <c r="C91" s="2" t="s">
        <v>809</v>
      </c>
      <c r="D91" s="1" t="s">
        <v>811</v>
      </c>
      <c r="E91" s="13" t="s">
        <v>971</v>
      </c>
      <c r="F91" s="2" t="s">
        <v>703</v>
      </c>
      <c r="G91" s="12" t="s">
        <v>822</v>
      </c>
      <c r="H91" s="14" t="s">
        <v>823</v>
      </c>
      <c r="I91" s="3" t="s">
        <v>821</v>
      </c>
      <c r="J91" s="16">
        <f>JG</f>
        <v>11.36</v>
      </c>
      <c r="K91" s="13">
        <v>1</v>
      </c>
      <c r="L91" s="16">
        <f t="shared" si="18"/>
        <v>11.36</v>
      </c>
      <c r="M91" s="16">
        <v>29.9</v>
      </c>
      <c r="N91" s="18">
        <f t="shared" si="19"/>
        <v>0.33966400000000002</v>
      </c>
      <c r="O91" s="16">
        <v>0.96199999999999997</v>
      </c>
      <c r="P91" s="18">
        <f t="shared" si="20"/>
        <v>10.928319999999999</v>
      </c>
    </row>
    <row r="92" spans="1:16" ht="36">
      <c r="A92" s="12">
        <v>91</v>
      </c>
      <c r="B92" s="2" t="s">
        <v>820</v>
      </c>
      <c r="C92" s="2" t="s">
        <v>809</v>
      </c>
      <c r="D92" s="1" t="s">
        <v>812</v>
      </c>
      <c r="E92" s="13" t="s">
        <v>971</v>
      </c>
      <c r="F92" s="2" t="s">
        <v>703</v>
      </c>
      <c r="G92" s="12" t="s">
        <v>822</v>
      </c>
      <c r="H92" s="14" t="s">
        <v>823</v>
      </c>
      <c r="I92" s="3" t="s">
        <v>799</v>
      </c>
      <c r="J92" s="16">
        <f>JG</f>
        <v>4.8499999999999996</v>
      </c>
      <c r="K92" s="13">
        <v>2</v>
      </c>
      <c r="L92" s="16">
        <f t="shared" si="18"/>
        <v>9.6999999999999993</v>
      </c>
      <c r="M92" s="16">
        <v>29.9</v>
      </c>
      <c r="N92" s="18">
        <f t="shared" si="19"/>
        <v>0.29002999999999995</v>
      </c>
      <c r="O92" s="16">
        <v>0.96199999999999997</v>
      </c>
      <c r="P92" s="18">
        <f t="shared" si="20"/>
        <v>9.3313999999999986</v>
      </c>
    </row>
    <row r="93" spans="1:16" ht="36">
      <c r="A93" s="12">
        <v>92</v>
      </c>
      <c r="B93" s="2" t="s">
        <v>820</v>
      </c>
      <c r="C93" s="2" t="s">
        <v>809</v>
      </c>
      <c r="D93" s="1" t="s">
        <v>400</v>
      </c>
      <c r="E93" s="13" t="s">
        <v>974</v>
      </c>
      <c r="F93" s="2" t="s">
        <v>813</v>
      </c>
      <c r="G93" s="12" t="s">
        <v>822</v>
      </c>
      <c r="H93" s="14" t="s">
        <v>823</v>
      </c>
      <c r="I93" s="3" t="s">
        <v>814</v>
      </c>
      <c r="J93" s="16">
        <f>JG</f>
        <v>8</v>
      </c>
      <c r="K93" s="13">
        <v>1</v>
      </c>
      <c r="L93" s="16">
        <f t="shared" si="18"/>
        <v>8</v>
      </c>
      <c r="M93" s="16">
        <f>0.072*0.176*0.006*7850</f>
        <v>0.59685119999999992</v>
      </c>
      <c r="N93" s="18">
        <f t="shared" si="19"/>
        <v>4.774809599999999E-3</v>
      </c>
      <c r="O93" s="16">
        <f>0.072*2*0.176</f>
        <v>2.5343999999999995E-2</v>
      </c>
      <c r="P93" s="18">
        <f t="shared" si="20"/>
        <v>0.20275199999999996</v>
      </c>
    </row>
    <row r="94" spans="1:16" ht="36">
      <c r="A94" s="12">
        <v>93</v>
      </c>
      <c r="B94" s="2" t="s">
        <v>820</v>
      </c>
      <c r="C94" s="2" t="s">
        <v>809</v>
      </c>
      <c r="D94" s="1" t="s">
        <v>738</v>
      </c>
      <c r="E94" s="13" t="s">
        <v>971</v>
      </c>
      <c r="F94" s="2" t="s">
        <v>739</v>
      </c>
      <c r="G94" s="12" t="s">
        <v>822</v>
      </c>
      <c r="H94" s="14" t="s">
        <v>823</v>
      </c>
      <c r="I94" s="3" t="s">
        <v>815</v>
      </c>
      <c r="J94" s="16">
        <f>JG</f>
        <v>0.4</v>
      </c>
      <c r="K94" s="13">
        <v>1</v>
      </c>
      <c r="L94" s="16">
        <f t="shared" si="18"/>
        <v>0.4</v>
      </c>
      <c r="M94" s="16">
        <v>14</v>
      </c>
      <c r="N94" s="18">
        <f t="shared" si="19"/>
        <v>5.6000000000000008E-3</v>
      </c>
      <c r="O94" s="16">
        <v>0.57599999999999996</v>
      </c>
      <c r="P94" s="18">
        <f t="shared" si="20"/>
        <v>0.23039999999999999</v>
      </c>
    </row>
    <row r="95" spans="1:16" ht="36">
      <c r="A95" s="12">
        <v>94</v>
      </c>
      <c r="B95" s="2" t="s">
        <v>820</v>
      </c>
      <c r="C95" s="2" t="s">
        <v>809</v>
      </c>
      <c r="D95" s="1" t="s">
        <v>400</v>
      </c>
      <c r="E95" s="13" t="s">
        <v>974</v>
      </c>
      <c r="F95" s="2" t="s">
        <v>817</v>
      </c>
      <c r="G95" s="12" t="s">
        <v>822</v>
      </c>
      <c r="H95" s="14" t="s">
        <v>823</v>
      </c>
      <c r="I95" s="3">
        <v>4</v>
      </c>
      <c r="J95" s="16">
        <f>JG</f>
        <v>4</v>
      </c>
      <c r="K95" s="13">
        <v>1</v>
      </c>
      <c r="L95" s="16">
        <f t="shared" si="18"/>
        <v>4</v>
      </c>
      <c r="M95" s="16">
        <f>0.072*0.176*0.005*7850</f>
        <v>0.49737599999999993</v>
      </c>
      <c r="N95" s="18">
        <f t="shared" si="19"/>
        <v>1.9895039999999996E-3</v>
      </c>
      <c r="O95" s="16">
        <f>0.072*2*0.176</f>
        <v>2.5343999999999995E-2</v>
      </c>
      <c r="P95" s="18">
        <f t="shared" si="20"/>
        <v>0.10137599999999998</v>
      </c>
    </row>
    <row r="96" spans="1:16" ht="36">
      <c r="A96" s="12">
        <v>95</v>
      </c>
      <c r="B96" s="2" t="s">
        <v>820</v>
      </c>
      <c r="C96" s="2" t="s">
        <v>809</v>
      </c>
      <c r="D96" s="1" t="s">
        <v>533</v>
      </c>
      <c r="E96" s="13" t="s">
        <v>973</v>
      </c>
      <c r="F96" s="2" t="s">
        <v>474</v>
      </c>
      <c r="G96" s="12" t="s">
        <v>822</v>
      </c>
      <c r="H96" s="14" t="s">
        <v>823</v>
      </c>
      <c r="I96" s="3" t="s">
        <v>819</v>
      </c>
      <c r="J96" s="16">
        <f>JG</f>
        <v>1.4142135623730951</v>
      </c>
      <c r="K96" s="13">
        <v>2</v>
      </c>
      <c r="L96" s="16">
        <f t="shared" si="18"/>
        <v>2.8284271247461903</v>
      </c>
      <c r="M96" s="16">
        <v>7.47</v>
      </c>
      <c r="N96" s="18">
        <f t="shared" si="19"/>
        <v>2.1128350621854041E-2</v>
      </c>
      <c r="O96" s="16">
        <v>0.247</v>
      </c>
      <c r="P96" s="18">
        <f t="shared" si="20"/>
        <v>0.69862149981230903</v>
      </c>
    </row>
    <row r="97" spans="1:16" ht="36">
      <c r="A97" s="12">
        <v>96</v>
      </c>
      <c r="B97" s="2" t="s">
        <v>270</v>
      </c>
      <c r="C97" s="2" t="s">
        <v>809</v>
      </c>
      <c r="D97" s="1" t="s">
        <v>811</v>
      </c>
      <c r="E97" s="13" t="s">
        <v>971</v>
      </c>
      <c r="F97" s="2" t="s">
        <v>703</v>
      </c>
      <c r="G97" s="12" t="s">
        <v>822</v>
      </c>
      <c r="H97" s="14" t="s">
        <v>823</v>
      </c>
      <c r="I97" s="3">
        <v>1.68</v>
      </c>
      <c r="J97" s="16">
        <f>JG</f>
        <v>1.68</v>
      </c>
      <c r="K97" s="13">
        <v>2</v>
      </c>
      <c r="L97" s="16">
        <f t="shared" si="18"/>
        <v>3.36</v>
      </c>
      <c r="M97" s="16">
        <v>29.9</v>
      </c>
      <c r="N97" s="18">
        <f t="shared" si="19"/>
        <v>0.10046399999999998</v>
      </c>
      <c r="O97" s="16">
        <v>0.96199999999999997</v>
      </c>
      <c r="P97" s="18">
        <f t="shared" si="20"/>
        <v>3.2323199999999996</v>
      </c>
    </row>
    <row r="98" spans="1:16" ht="36">
      <c r="A98" s="12">
        <v>97</v>
      </c>
      <c r="B98" s="2" t="s">
        <v>745</v>
      </c>
      <c r="C98" s="2" t="s">
        <v>809</v>
      </c>
      <c r="D98" s="1" t="s">
        <v>812</v>
      </c>
      <c r="E98" s="13" t="s">
        <v>971</v>
      </c>
      <c r="F98" s="2" t="s">
        <v>703</v>
      </c>
      <c r="G98" s="12" t="s">
        <v>822</v>
      </c>
      <c r="H98" s="14" t="s">
        <v>823</v>
      </c>
      <c r="I98" s="3" t="s">
        <v>799</v>
      </c>
      <c r="J98" s="16">
        <f>JG</f>
        <v>4.8499999999999996</v>
      </c>
      <c r="K98" s="13">
        <v>2</v>
      </c>
      <c r="L98" s="16">
        <f t="shared" si="18"/>
        <v>9.6999999999999993</v>
      </c>
      <c r="M98" s="16">
        <v>29.9</v>
      </c>
      <c r="N98" s="18">
        <f t="shared" si="19"/>
        <v>0.29002999999999995</v>
      </c>
      <c r="O98" s="16">
        <v>0.96199999999999997</v>
      </c>
      <c r="P98" s="18">
        <f t="shared" si="20"/>
        <v>9.3313999999999986</v>
      </c>
    </row>
    <row r="99" spans="1:16" ht="36">
      <c r="A99" s="12">
        <v>98</v>
      </c>
      <c r="B99" s="2" t="s">
        <v>745</v>
      </c>
      <c r="C99" s="2" t="s">
        <v>809</v>
      </c>
      <c r="D99" s="1" t="s">
        <v>400</v>
      </c>
      <c r="E99" s="13" t="s">
        <v>974</v>
      </c>
      <c r="F99" s="2" t="s">
        <v>813</v>
      </c>
      <c r="G99" s="12" t="s">
        <v>822</v>
      </c>
      <c r="H99" s="14" t="s">
        <v>823</v>
      </c>
      <c r="I99" s="3" t="s">
        <v>814</v>
      </c>
      <c r="J99" s="16">
        <f>JG</f>
        <v>8</v>
      </c>
      <c r="K99" s="13">
        <v>1</v>
      </c>
      <c r="L99" s="16">
        <f t="shared" si="18"/>
        <v>8</v>
      </c>
      <c r="M99" s="16">
        <f>0.072*0.176*0.006*7850</f>
        <v>0.59685119999999992</v>
      </c>
      <c r="N99" s="18">
        <f t="shared" si="19"/>
        <v>4.774809599999999E-3</v>
      </c>
      <c r="O99" s="16">
        <f>0.072*2*0.176</f>
        <v>2.5343999999999995E-2</v>
      </c>
      <c r="P99" s="18">
        <f t="shared" si="20"/>
        <v>0.20275199999999996</v>
      </c>
    </row>
    <row r="100" spans="1:16" ht="36">
      <c r="A100" s="12">
        <v>99</v>
      </c>
      <c r="B100" s="2" t="s">
        <v>745</v>
      </c>
      <c r="C100" s="2" t="s">
        <v>809</v>
      </c>
      <c r="D100" s="1" t="s">
        <v>738</v>
      </c>
      <c r="E100" s="13" t="s">
        <v>971</v>
      </c>
      <c r="F100" s="2" t="s">
        <v>739</v>
      </c>
      <c r="G100" s="12" t="s">
        <v>822</v>
      </c>
      <c r="H100" s="14" t="s">
        <v>823</v>
      </c>
      <c r="I100" s="3" t="s">
        <v>815</v>
      </c>
      <c r="J100" s="16">
        <f>JG</f>
        <v>0.4</v>
      </c>
      <c r="K100" s="13">
        <v>1</v>
      </c>
      <c r="L100" s="16">
        <f t="shared" si="18"/>
        <v>0.4</v>
      </c>
      <c r="M100" s="16">
        <v>14</v>
      </c>
      <c r="N100" s="18">
        <f t="shared" si="19"/>
        <v>5.6000000000000008E-3</v>
      </c>
      <c r="O100" s="16">
        <v>0.57599999999999996</v>
      </c>
      <c r="P100" s="18">
        <f t="shared" si="20"/>
        <v>0.23039999999999999</v>
      </c>
    </row>
    <row r="101" spans="1:16" ht="36">
      <c r="A101" s="12">
        <v>100</v>
      </c>
      <c r="B101" s="2" t="s">
        <v>745</v>
      </c>
      <c r="C101" s="2" t="s">
        <v>809</v>
      </c>
      <c r="D101" s="1" t="s">
        <v>400</v>
      </c>
      <c r="E101" s="13" t="s">
        <v>974</v>
      </c>
      <c r="F101" s="2" t="s">
        <v>817</v>
      </c>
      <c r="G101" s="12" t="s">
        <v>822</v>
      </c>
      <c r="H101" s="14" t="s">
        <v>823</v>
      </c>
      <c r="I101" s="3">
        <v>4</v>
      </c>
      <c r="J101" s="16">
        <f>JG</f>
        <v>4</v>
      </c>
      <c r="K101" s="13">
        <v>1</v>
      </c>
      <c r="L101" s="16">
        <f t="shared" si="18"/>
        <v>4</v>
      </c>
      <c r="M101" s="16">
        <f>0.072*0.176*0.005*7850</f>
        <v>0.49737599999999993</v>
      </c>
      <c r="N101" s="18">
        <f t="shared" si="19"/>
        <v>1.9895039999999996E-3</v>
      </c>
      <c r="O101" s="16">
        <f>0.072*2*0.176</f>
        <v>2.5343999999999995E-2</v>
      </c>
      <c r="P101" s="18">
        <f t="shared" si="20"/>
        <v>0.10137599999999998</v>
      </c>
    </row>
    <row r="102" spans="1:16" ht="36">
      <c r="A102" s="12">
        <v>101</v>
      </c>
      <c r="B102" s="2" t="s">
        <v>745</v>
      </c>
      <c r="C102" s="2" t="s">
        <v>809</v>
      </c>
      <c r="D102" s="1" t="s">
        <v>533</v>
      </c>
      <c r="E102" s="13" t="s">
        <v>973</v>
      </c>
      <c r="F102" s="2" t="s">
        <v>474</v>
      </c>
      <c r="G102" s="12" t="s">
        <v>822</v>
      </c>
      <c r="H102" s="14" t="s">
        <v>823</v>
      </c>
      <c r="I102" s="3" t="s">
        <v>819</v>
      </c>
      <c r="J102" s="16">
        <f>JG</f>
        <v>1.4142135623730951</v>
      </c>
      <c r="K102" s="13">
        <v>2</v>
      </c>
      <c r="L102" s="16">
        <f t="shared" si="18"/>
        <v>2.8284271247461903</v>
      </c>
      <c r="M102" s="16">
        <v>7.47</v>
      </c>
      <c r="N102" s="18">
        <f t="shared" si="19"/>
        <v>2.1128350621854041E-2</v>
      </c>
      <c r="O102" s="16">
        <v>0.247</v>
      </c>
      <c r="P102" s="18">
        <f t="shared" si="20"/>
        <v>0.69862149981230903</v>
      </c>
    </row>
    <row r="103" spans="1:16" ht="36">
      <c r="A103" s="12">
        <v>102</v>
      </c>
      <c r="B103" s="2" t="s">
        <v>808</v>
      </c>
      <c r="C103" s="2" t="s">
        <v>809</v>
      </c>
      <c r="D103" s="1" t="s">
        <v>738</v>
      </c>
      <c r="E103" s="13" t="s">
        <v>971</v>
      </c>
      <c r="F103" s="2" t="s">
        <v>237</v>
      </c>
      <c r="G103" s="12" t="s">
        <v>822</v>
      </c>
      <c r="H103" s="14" t="s">
        <v>823</v>
      </c>
      <c r="I103" s="3" t="s">
        <v>846</v>
      </c>
      <c r="J103" s="16">
        <f>JG</f>
        <v>22.8</v>
      </c>
      <c r="K103" s="13">
        <v>1</v>
      </c>
      <c r="L103" s="16">
        <f t="shared" si="18"/>
        <v>22.8</v>
      </c>
      <c r="M103" s="16">
        <v>14</v>
      </c>
      <c r="N103" s="18">
        <f t="shared" si="19"/>
        <v>0.31919999999999998</v>
      </c>
      <c r="O103" s="16">
        <v>0.57599999999999996</v>
      </c>
      <c r="P103" s="18">
        <f t="shared" si="20"/>
        <v>13.1328</v>
      </c>
    </row>
    <row r="104" spans="1:16" ht="36">
      <c r="A104" s="12">
        <v>103</v>
      </c>
      <c r="B104" s="2" t="s">
        <v>808</v>
      </c>
      <c r="C104" s="2" t="s">
        <v>809</v>
      </c>
      <c r="D104" s="1" t="s">
        <v>400</v>
      </c>
      <c r="E104" s="13" t="s">
        <v>974</v>
      </c>
      <c r="F104" s="2" t="s">
        <v>245</v>
      </c>
      <c r="G104" s="12" t="s">
        <v>822</v>
      </c>
      <c r="H104" s="14" t="s">
        <v>823</v>
      </c>
      <c r="I104" s="3" t="s">
        <v>847</v>
      </c>
      <c r="J104" s="16">
        <f>JG</f>
        <v>17</v>
      </c>
      <c r="K104" s="13">
        <v>1</v>
      </c>
      <c r="L104" s="16">
        <f t="shared" si="18"/>
        <v>17</v>
      </c>
      <c r="M104" s="16">
        <f>0.071*0.282*0.005*7850</f>
        <v>0.78586349999999983</v>
      </c>
      <c r="N104" s="18">
        <f t="shared" si="19"/>
        <v>1.3359679499999997E-2</v>
      </c>
      <c r="O104" s="16">
        <f>0.071*2*0.282</f>
        <v>4.0043999999999989E-2</v>
      </c>
      <c r="P104" s="18">
        <f t="shared" si="20"/>
        <v>0.6807479999999998</v>
      </c>
    </row>
    <row r="105" spans="1:16" ht="36">
      <c r="A105" s="12">
        <v>104</v>
      </c>
      <c r="B105" s="2" t="s">
        <v>808</v>
      </c>
      <c r="C105" s="2" t="s">
        <v>809</v>
      </c>
      <c r="D105" s="1" t="s">
        <v>412</v>
      </c>
      <c r="E105" s="13" t="s">
        <v>971</v>
      </c>
      <c r="F105" s="2" t="s">
        <v>29</v>
      </c>
      <c r="G105" s="12" t="s">
        <v>822</v>
      </c>
      <c r="H105" s="14" t="s">
        <v>823</v>
      </c>
      <c r="I105" s="3" t="s">
        <v>848</v>
      </c>
      <c r="J105" s="16">
        <f>JG</f>
        <v>9.4</v>
      </c>
      <c r="K105" s="13">
        <v>1</v>
      </c>
      <c r="L105" s="16">
        <f t="shared" ref="L105:L136" si="21">J105*K105</f>
        <v>9.4</v>
      </c>
      <c r="M105" s="16">
        <v>20.9</v>
      </c>
      <c r="N105" s="18">
        <f t="shared" ref="N105:N136" si="22">L105*M105*0.001</f>
        <v>0.19646000000000002</v>
      </c>
      <c r="O105" s="16">
        <v>0.77500000000000002</v>
      </c>
      <c r="P105" s="18">
        <f t="shared" ref="P105:P136" si="23">O105*L105</f>
        <v>7.2850000000000001</v>
      </c>
    </row>
    <row r="106" spans="1:16" ht="36">
      <c r="A106" s="12">
        <v>105</v>
      </c>
      <c r="B106" s="2" t="s">
        <v>808</v>
      </c>
      <c r="C106" s="2" t="s">
        <v>809</v>
      </c>
      <c r="D106" s="1" t="s">
        <v>400</v>
      </c>
      <c r="E106" s="13" t="s">
        <v>974</v>
      </c>
      <c r="F106" s="2" t="s">
        <v>849</v>
      </c>
      <c r="G106" s="12" t="s">
        <v>822</v>
      </c>
      <c r="H106" s="14" t="s">
        <v>823</v>
      </c>
      <c r="I106" s="3" t="s">
        <v>640</v>
      </c>
      <c r="J106" s="16">
        <f>JG</f>
        <v>8</v>
      </c>
      <c r="K106" s="13">
        <v>1</v>
      </c>
      <c r="L106" s="16">
        <f t="shared" si="21"/>
        <v>8</v>
      </c>
      <c r="M106" s="16">
        <f>0.071*0.282*0.0055*7850</f>
        <v>0.86444984999999963</v>
      </c>
      <c r="N106" s="18">
        <f t="shared" si="22"/>
        <v>6.915598799999997E-3</v>
      </c>
      <c r="O106" s="16">
        <f>0.071*2*0.282</f>
        <v>4.0043999999999989E-2</v>
      </c>
      <c r="P106" s="18">
        <f t="shared" si="23"/>
        <v>0.32035199999999991</v>
      </c>
    </row>
    <row r="107" spans="1:16" ht="36">
      <c r="A107" s="12">
        <v>106</v>
      </c>
      <c r="B107" s="2" t="s">
        <v>808</v>
      </c>
      <c r="C107" s="2" t="s">
        <v>809</v>
      </c>
      <c r="D107" s="1" t="s">
        <v>982</v>
      </c>
      <c r="E107" s="13" t="s">
        <v>971</v>
      </c>
      <c r="F107" s="2" t="s">
        <v>252</v>
      </c>
      <c r="G107" s="12" t="s">
        <v>822</v>
      </c>
      <c r="H107" s="14" t="s">
        <v>823</v>
      </c>
      <c r="I107" s="3" t="s">
        <v>850</v>
      </c>
      <c r="J107" s="16">
        <f>JG</f>
        <v>68</v>
      </c>
      <c r="K107" s="13">
        <v>1</v>
      </c>
      <c r="L107" s="16">
        <f t="shared" si="21"/>
        <v>68</v>
      </c>
      <c r="M107" s="16">
        <v>36.700000000000003</v>
      </c>
      <c r="N107" s="18">
        <f t="shared" si="22"/>
        <v>2.4956000000000005</v>
      </c>
      <c r="O107" s="16">
        <v>1.1599999999999999</v>
      </c>
      <c r="P107" s="18">
        <f t="shared" si="23"/>
        <v>78.88</v>
      </c>
    </row>
    <row r="108" spans="1:16" ht="36">
      <c r="A108" s="12">
        <v>107</v>
      </c>
      <c r="B108" s="2" t="s">
        <v>808</v>
      </c>
      <c r="C108" s="2" t="s">
        <v>809</v>
      </c>
      <c r="D108" s="1" t="s">
        <v>920</v>
      </c>
      <c r="E108" s="13" t="s">
        <v>971</v>
      </c>
      <c r="F108" s="2" t="s">
        <v>252</v>
      </c>
      <c r="G108" s="12" t="s">
        <v>822</v>
      </c>
      <c r="H108" s="14" t="s">
        <v>823</v>
      </c>
      <c r="I108" s="3" t="s">
        <v>801</v>
      </c>
      <c r="J108" s="16">
        <f>JG</f>
        <v>4.8</v>
      </c>
      <c r="K108" s="13">
        <v>7</v>
      </c>
      <c r="L108" s="16">
        <f t="shared" si="21"/>
        <v>33.6</v>
      </c>
      <c r="M108" s="16">
        <v>36.700000000000003</v>
      </c>
      <c r="N108" s="18">
        <f t="shared" si="22"/>
        <v>1.2331200000000002</v>
      </c>
      <c r="O108" s="16">
        <v>1.1599999999999999</v>
      </c>
      <c r="P108" s="18">
        <f t="shared" si="23"/>
        <v>38.975999999999999</v>
      </c>
    </row>
    <row r="109" spans="1:16" ht="36">
      <c r="A109" s="12">
        <v>108</v>
      </c>
      <c r="B109" s="2" t="s">
        <v>808</v>
      </c>
      <c r="C109" s="2" t="s">
        <v>809</v>
      </c>
      <c r="D109" s="1" t="s">
        <v>249</v>
      </c>
      <c r="E109" s="13" t="s">
        <v>971</v>
      </c>
      <c r="F109" s="2" t="s">
        <v>252</v>
      </c>
      <c r="G109" s="12" t="s">
        <v>822</v>
      </c>
      <c r="H109" s="14" t="s">
        <v>823</v>
      </c>
      <c r="I109" s="3" t="s">
        <v>294</v>
      </c>
      <c r="J109" s="16">
        <f>JG</f>
        <v>4.8499999999999996</v>
      </c>
      <c r="K109" s="13">
        <v>6</v>
      </c>
      <c r="L109" s="16">
        <f t="shared" si="21"/>
        <v>29.099999999999998</v>
      </c>
      <c r="M109" s="16">
        <v>36.700000000000003</v>
      </c>
      <c r="N109" s="18">
        <f t="shared" si="22"/>
        <v>1.0679700000000001</v>
      </c>
      <c r="O109" s="16">
        <v>1.1599999999999999</v>
      </c>
      <c r="P109" s="18">
        <f t="shared" si="23"/>
        <v>33.755999999999993</v>
      </c>
    </row>
    <row r="110" spans="1:16" ht="36">
      <c r="A110" s="12">
        <v>109</v>
      </c>
      <c r="B110" s="2" t="s">
        <v>808</v>
      </c>
      <c r="C110" s="2" t="s">
        <v>809</v>
      </c>
      <c r="D110" s="1" t="s">
        <v>400</v>
      </c>
      <c r="E110" s="13" t="s">
        <v>974</v>
      </c>
      <c r="F110" s="2" t="s">
        <v>299</v>
      </c>
      <c r="G110" s="12" t="s">
        <v>822</v>
      </c>
      <c r="H110" s="14" t="s">
        <v>823</v>
      </c>
      <c r="I110" s="3" t="s">
        <v>523</v>
      </c>
      <c r="J110" s="16">
        <f>JG</f>
        <v>24</v>
      </c>
      <c r="K110" s="13">
        <v>1</v>
      </c>
      <c r="L110" s="16">
        <f t="shared" si="21"/>
        <v>24</v>
      </c>
      <c r="M110" s="16">
        <f>0.071*0.282*0.0065*7850</f>
        <v>1.0216225499999998</v>
      </c>
      <c r="N110" s="18">
        <f t="shared" si="22"/>
        <v>2.4518941199999995E-2</v>
      </c>
      <c r="O110" s="16">
        <f>0.071*2*0.282</f>
        <v>4.0043999999999989E-2</v>
      </c>
      <c r="P110" s="18">
        <f t="shared" si="23"/>
        <v>0.96105599999999969</v>
      </c>
    </row>
    <row r="111" spans="1:16" ht="36">
      <c r="A111" s="12">
        <v>110</v>
      </c>
      <c r="B111" s="2" t="s">
        <v>808</v>
      </c>
      <c r="C111" s="2" t="s">
        <v>809</v>
      </c>
      <c r="D111" s="1" t="s">
        <v>895</v>
      </c>
      <c r="E111" s="13" t="s">
        <v>972</v>
      </c>
      <c r="F111" s="2" t="s">
        <v>31</v>
      </c>
      <c r="G111" s="12" t="s">
        <v>822</v>
      </c>
      <c r="H111" s="14" t="s">
        <v>823</v>
      </c>
      <c r="I111" s="3" t="s">
        <v>851</v>
      </c>
      <c r="J111" s="16">
        <f>JG</f>
        <v>3.905124837953327</v>
      </c>
      <c r="K111" s="13">
        <v>20</v>
      </c>
      <c r="L111" s="16">
        <f t="shared" si="21"/>
        <v>78.10249675906654</v>
      </c>
      <c r="M111" s="16">
        <v>14.5</v>
      </c>
      <c r="N111" s="18">
        <f t="shared" si="22"/>
        <v>1.1324862030064649</v>
      </c>
      <c r="O111" s="16">
        <v>0.49299999999999999</v>
      </c>
      <c r="P111" s="18">
        <f t="shared" si="23"/>
        <v>38.504530902219805</v>
      </c>
    </row>
    <row r="112" spans="1:16" ht="36">
      <c r="A112" s="12">
        <v>111</v>
      </c>
      <c r="B112" s="2" t="s">
        <v>808</v>
      </c>
      <c r="C112" s="2" t="s">
        <v>809</v>
      </c>
      <c r="D112" s="1" t="s">
        <v>895</v>
      </c>
      <c r="E112" s="13" t="s">
        <v>972</v>
      </c>
      <c r="F112" s="2" t="s">
        <v>31</v>
      </c>
      <c r="G112" s="12" t="s">
        <v>822</v>
      </c>
      <c r="H112" s="14" t="s">
        <v>823</v>
      </c>
      <c r="I112" s="3" t="s">
        <v>852</v>
      </c>
      <c r="J112" s="16">
        <f>JG</f>
        <v>3.2015621187164243</v>
      </c>
      <c r="K112" s="13">
        <v>4</v>
      </c>
      <c r="L112" s="16">
        <f t="shared" si="21"/>
        <v>12.806248474865697</v>
      </c>
      <c r="M112" s="16">
        <v>14.5</v>
      </c>
      <c r="N112" s="18">
        <f t="shared" si="22"/>
        <v>0.18569060288555261</v>
      </c>
      <c r="O112" s="16">
        <v>0.49299999999999999</v>
      </c>
      <c r="P112" s="18">
        <f t="shared" si="23"/>
        <v>6.3134804981087882</v>
      </c>
    </row>
    <row r="113" spans="1:17" ht="24">
      <c r="A113" s="12">
        <v>112</v>
      </c>
      <c r="C113" s="2" t="s">
        <v>853</v>
      </c>
      <c r="D113" s="1" t="s">
        <v>854</v>
      </c>
      <c r="E113" s="13" t="s">
        <v>971</v>
      </c>
      <c r="F113" s="2" t="s">
        <v>856</v>
      </c>
      <c r="G113" s="12" t="s">
        <v>822</v>
      </c>
      <c r="H113" s="14" t="s">
        <v>823</v>
      </c>
      <c r="I113" s="3" t="s">
        <v>858</v>
      </c>
      <c r="J113" s="16">
        <f>JG</f>
        <v>4</v>
      </c>
      <c r="K113" s="13">
        <v>1</v>
      </c>
      <c r="L113" s="16">
        <f t="shared" si="21"/>
        <v>4</v>
      </c>
      <c r="M113" s="16">
        <v>14</v>
      </c>
      <c r="N113" s="18">
        <f t="shared" si="22"/>
        <v>5.6000000000000001E-2</v>
      </c>
      <c r="O113" s="16">
        <v>0.57599999999999996</v>
      </c>
      <c r="P113" s="18">
        <f t="shared" si="23"/>
        <v>2.3039999999999998</v>
      </c>
    </row>
    <row r="114" spans="1:17" ht="24">
      <c r="A114" s="12">
        <v>113</v>
      </c>
      <c r="C114" s="2" t="s">
        <v>853</v>
      </c>
      <c r="D114" s="1" t="s">
        <v>859</v>
      </c>
      <c r="E114" s="13" t="s">
        <v>973</v>
      </c>
      <c r="F114" s="2" t="s">
        <v>861</v>
      </c>
      <c r="G114" s="12" t="s">
        <v>822</v>
      </c>
      <c r="H114" s="14" t="s">
        <v>823</v>
      </c>
      <c r="I114" s="3" t="s">
        <v>863</v>
      </c>
      <c r="J114" s="16">
        <f>JG</f>
        <v>2.0229928324143911</v>
      </c>
      <c r="K114" s="13">
        <v>1</v>
      </c>
      <c r="L114" s="16">
        <f t="shared" si="21"/>
        <v>2.0229928324143911</v>
      </c>
      <c r="M114" s="16">
        <v>9.66</v>
      </c>
      <c r="N114" s="18">
        <f t="shared" si="22"/>
        <v>1.954211076112302E-2</v>
      </c>
      <c r="O114" s="16">
        <v>0.314</v>
      </c>
      <c r="P114" s="18">
        <f t="shared" si="23"/>
        <v>0.63521974937811876</v>
      </c>
    </row>
    <row r="115" spans="1:17" ht="24">
      <c r="A115" s="12">
        <v>114</v>
      </c>
      <c r="C115" s="2" t="s">
        <v>853</v>
      </c>
      <c r="D115" s="1" t="s">
        <v>864</v>
      </c>
      <c r="F115" s="2" t="s">
        <v>997</v>
      </c>
      <c r="G115" s="12" t="s">
        <v>822</v>
      </c>
      <c r="H115" s="14" t="s">
        <v>823</v>
      </c>
      <c r="I115" s="3" t="s">
        <v>866</v>
      </c>
      <c r="J115" s="16">
        <f>JG</f>
        <v>7.6837490849194188</v>
      </c>
      <c r="K115" s="13">
        <v>2</v>
      </c>
      <c r="L115" s="16">
        <f t="shared" si="21"/>
        <v>15.367498169838838</v>
      </c>
      <c r="M115" s="16">
        <v>31.1</v>
      </c>
      <c r="N115" s="18">
        <f t="shared" si="22"/>
        <v>0.47792919308198789</v>
      </c>
      <c r="O115" s="16">
        <v>0.872</v>
      </c>
      <c r="P115" s="18">
        <f t="shared" si="23"/>
        <v>13.400458404099465</v>
      </c>
      <c r="Q115" s="13" t="s">
        <v>85</v>
      </c>
    </row>
    <row r="116" spans="1:17" ht="24">
      <c r="A116" s="12">
        <v>115</v>
      </c>
      <c r="C116" s="2" t="s">
        <v>853</v>
      </c>
      <c r="D116" s="1" t="s">
        <v>864</v>
      </c>
      <c r="F116" s="2" t="s">
        <v>997</v>
      </c>
      <c r="G116" s="12" t="s">
        <v>822</v>
      </c>
      <c r="H116" s="14" t="s">
        <v>823</v>
      </c>
      <c r="I116" s="3" t="s">
        <v>868</v>
      </c>
      <c r="J116" s="16">
        <f>JG</f>
        <v>8.6999999999999993</v>
      </c>
      <c r="K116" s="13">
        <v>2</v>
      </c>
      <c r="L116" s="16">
        <f t="shared" si="21"/>
        <v>17.399999999999999</v>
      </c>
      <c r="M116" s="16">
        <v>31.1</v>
      </c>
      <c r="N116" s="18">
        <f t="shared" si="22"/>
        <v>0.54113999999999995</v>
      </c>
      <c r="O116" s="16">
        <v>0.872</v>
      </c>
      <c r="P116" s="18">
        <f t="shared" si="23"/>
        <v>15.172799999999999</v>
      </c>
      <c r="Q116" s="13" t="s">
        <v>85</v>
      </c>
    </row>
    <row r="117" spans="1:17" ht="24">
      <c r="A117" s="12">
        <v>116</v>
      </c>
      <c r="C117" s="2" t="s">
        <v>869</v>
      </c>
      <c r="D117" s="1" t="s">
        <v>854</v>
      </c>
      <c r="E117" s="13" t="s">
        <v>971</v>
      </c>
      <c r="F117" s="2" t="s">
        <v>855</v>
      </c>
      <c r="G117" s="12" t="s">
        <v>822</v>
      </c>
      <c r="H117" s="14" t="s">
        <v>823</v>
      </c>
      <c r="I117" s="3" t="s">
        <v>857</v>
      </c>
      <c r="J117" s="16">
        <f>JG</f>
        <v>4</v>
      </c>
      <c r="K117" s="13">
        <v>1</v>
      </c>
      <c r="L117" s="16">
        <f t="shared" si="21"/>
        <v>4</v>
      </c>
      <c r="M117" s="16">
        <v>14</v>
      </c>
      <c r="N117" s="18">
        <f t="shared" si="22"/>
        <v>5.6000000000000001E-2</v>
      </c>
      <c r="O117" s="16">
        <v>0.57599999999999996</v>
      </c>
      <c r="P117" s="18">
        <f t="shared" si="23"/>
        <v>2.3039999999999998</v>
      </c>
    </row>
    <row r="118" spans="1:17" ht="24">
      <c r="A118" s="12">
        <v>117</v>
      </c>
      <c r="C118" s="2" t="s">
        <v>869</v>
      </c>
      <c r="D118" s="1" t="s">
        <v>859</v>
      </c>
      <c r="E118" s="13" t="s">
        <v>973</v>
      </c>
      <c r="F118" s="2" t="s">
        <v>860</v>
      </c>
      <c r="G118" s="12" t="s">
        <v>822</v>
      </c>
      <c r="H118" s="14" t="s">
        <v>823</v>
      </c>
      <c r="I118" s="3" t="s">
        <v>862</v>
      </c>
      <c r="J118" s="16">
        <f>JG</f>
        <v>2.0229928324143911</v>
      </c>
      <c r="K118" s="13">
        <v>1</v>
      </c>
      <c r="L118" s="16">
        <f t="shared" si="21"/>
        <v>2.0229928324143911</v>
      </c>
      <c r="M118" s="16">
        <v>9.66</v>
      </c>
      <c r="N118" s="18">
        <f t="shared" si="22"/>
        <v>1.954211076112302E-2</v>
      </c>
      <c r="O118" s="16">
        <v>0.314</v>
      </c>
      <c r="P118" s="18">
        <f t="shared" si="23"/>
        <v>0.63521974937811876</v>
      </c>
    </row>
    <row r="119" spans="1:17" ht="24">
      <c r="A119" s="12">
        <v>118</v>
      </c>
      <c r="C119" s="2" t="s">
        <v>869</v>
      </c>
      <c r="D119" s="1" t="s">
        <v>864</v>
      </c>
      <c r="F119" s="2" t="s">
        <v>997</v>
      </c>
      <c r="G119" s="12" t="s">
        <v>822</v>
      </c>
      <c r="H119" s="14" t="s">
        <v>823</v>
      </c>
      <c r="I119" s="3" t="s">
        <v>865</v>
      </c>
      <c r="J119" s="16">
        <f>JG</f>
        <v>7.6837490849194188</v>
      </c>
      <c r="K119" s="13">
        <v>2</v>
      </c>
      <c r="L119" s="16">
        <f t="shared" si="21"/>
        <v>15.367498169838838</v>
      </c>
      <c r="M119" s="16">
        <v>31.1</v>
      </c>
      <c r="N119" s="18">
        <f t="shared" si="22"/>
        <v>0.47792919308198789</v>
      </c>
      <c r="O119" s="16">
        <v>0.872</v>
      </c>
      <c r="P119" s="18">
        <f t="shared" si="23"/>
        <v>13.400458404099465</v>
      </c>
      <c r="Q119" s="13" t="s">
        <v>85</v>
      </c>
    </row>
    <row r="120" spans="1:17" ht="24">
      <c r="A120" s="12">
        <v>119</v>
      </c>
      <c r="C120" s="2" t="s">
        <v>869</v>
      </c>
      <c r="D120" s="1" t="s">
        <v>864</v>
      </c>
      <c r="F120" s="2" t="s">
        <v>997</v>
      </c>
      <c r="G120" s="12" t="s">
        <v>822</v>
      </c>
      <c r="H120" s="14" t="s">
        <v>823</v>
      </c>
      <c r="I120" s="3" t="s">
        <v>867</v>
      </c>
      <c r="J120" s="16">
        <f>JG</f>
        <v>8.6999999999999993</v>
      </c>
      <c r="K120" s="13">
        <v>2</v>
      </c>
      <c r="L120" s="16">
        <f t="shared" si="21"/>
        <v>17.399999999999999</v>
      </c>
      <c r="M120" s="16">
        <v>31.1</v>
      </c>
      <c r="N120" s="18">
        <f t="shared" si="22"/>
        <v>0.54113999999999995</v>
      </c>
      <c r="O120" s="16">
        <v>0.872</v>
      </c>
      <c r="P120" s="18">
        <f t="shared" si="23"/>
        <v>15.172799999999999</v>
      </c>
      <c r="Q120" s="13" t="s">
        <v>85</v>
      </c>
    </row>
    <row r="121" spans="1:17" ht="36">
      <c r="A121" s="12">
        <v>120</v>
      </c>
      <c r="B121" s="2" t="s">
        <v>870</v>
      </c>
      <c r="C121" s="2" t="s">
        <v>871</v>
      </c>
      <c r="D121" s="1" t="s">
        <v>987</v>
      </c>
      <c r="E121" s="13" t="s">
        <v>971</v>
      </c>
      <c r="F121" s="2" t="s">
        <v>223</v>
      </c>
      <c r="G121" s="12" t="s">
        <v>822</v>
      </c>
      <c r="H121" s="14" t="s">
        <v>823</v>
      </c>
      <c r="I121" s="3">
        <v>3</v>
      </c>
      <c r="J121" s="16">
        <f>JG</f>
        <v>3</v>
      </c>
      <c r="K121" s="13">
        <v>4</v>
      </c>
      <c r="L121" s="16">
        <f t="shared" si="21"/>
        <v>12</v>
      </c>
      <c r="M121" s="16">
        <v>16.899999999999999</v>
      </c>
      <c r="N121" s="18">
        <f t="shared" si="22"/>
        <v>0.20279999999999998</v>
      </c>
      <c r="O121" s="16">
        <v>0.57399999999999995</v>
      </c>
      <c r="P121" s="18">
        <f t="shared" si="23"/>
        <v>6.8879999999999999</v>
      </c>
    </row>
    <row r="122" spans="1:17" ht="24">
      <c r="A122" s="12">
        <v>121</v>
      </c>
      <c r="B122" s="2" t="s">
        <v>872</v>
      </c>
      <c r="C122" s="2" t="s">
        <v>873</v>
      </c>
      <c r="D122" s="1" t="s">
        <v>988</v>
      </c>
      <c r="E122" s="13" t="s">
        <v>971</v>
      </c>
      <c r="F122" s="2" t="s">
        <v>877</v>
      </c>
      <c r="G122" s="12" t="s">
        <v>822</v>
      </c>
      <c r="H122" s="14" t="s">
        <v>823</v>
      </c>
      <c r="I122" s="3" t="s">
        <v>878</v>
      </c>
      <c r="J122" s="16">
        <f>JG</f>
        <v>6.6520000000000028</v>
      </c>
      <c r="K122" s="13">
        <v>36</v>
      </c>
      <c r="L122" s="16">
        <f t="shared" si="21"/>
        <v>239.47200000000009</v>
      </c>
      <c r="M122" s="16">
        <v>172</v>
      </c>
      <c r="N122" s="18">
        <f t="shared" si="22"/>
        <v>41.189184000000019</v>
      </c>
      <c r="O122" s="16">
        <v>2.34</v>
      </c>
      <c r="P122" s="18">
        <f t="shared" si="23"/>
        <v>560.36448000000019</v>
      </c>
    </row>
    <row r="123" spans="1:17" ht="24">
      <c r="A123" s="12">
        <v>122</v>
      </c>
      <c r="B123" s="2" t="s">
        <v>872</v>
      </c>
      <c r="C123" s="2" t="s">
        <v>873</v>
      </c>
      <c r="D123" s="1" t="s">
        <v>909</v>
      </c>
      <c r="E123" s="13" t="s">
        <v>974</v>
      </c>
      <c r="F123" s="2" t="s">
        <v>879</v>
      </c>
      <c r="G123" s="12" t="s">
        <v>822</v>
      </c>
      <c r="H123" s="14" t="s">
        <v>823</v>
      </c>
      <c r="I123" s="3">
        <v>1</v>
      </c>
      <c r="J123" s="16">
        <f>JG</f>
        <v>1</v>
      </c>
      <c r="K123" s="13">
        <v>36</v>
      </c>
      <c r="L123" s="16">
        <f t="shared" si="21"/>
        <v>36</v>
      </c>
      <c r="M123" s="16">
        <f>0.84*0.8*0.048*7850</f>
        <v>253.20959999999999</v>
      </c>
      <c r="N123" s="18">
        <f t="shared" si="22"/>
        <v>9.115545599999999</v>
      </c>
      <c r="O123" s="16">
        <f>0.84*0.8</f>
        <v>0.67200000000000004</v>
      </c>
      <c r="P123" s="18">
        <f t="shared" si="23"/>
        <v>24.192</v>
      </c>
    </row>
    <row r="124" spans="1:17" ht="24">
      <c r="A124" s="12">
        <v>123</v>
      </c>
      <c r="B124" s="2" t="s">
        <v>872</v>
      </c>
      <c r="C124" s="2" t="s">
        <v>873</v>
      </c>
      <c r="D124" s="1" t="s">
        <v>909</v>
      </c>
      <c r="E124" s="13" t="s">
        <v>974</v>
      </c>
      <c r="F124" s="2" t="s">
        <v>880</v>
      </c>
      <c r="G124" s="12" t="s">
        <v>822</v>
      </c>
      <c r="H124" s="14" t="s">
        <v>823</v>
      </c>
      <c r="I124" s="3">
        <v>2</v>
      </c>
      <c r="J124" s="16">
        <f>JG</f>
        <v>2</v>
      </c>
      <c r="K124" s="13">
        <v>36</v>
      </c>
      <c r="L124" s="16">
        <f t="shared" si="21"/>
        <v>72</v>
      </c>
      <c r="M124" s="16">
        <f>(0.4135*0.53-0.3135*0.5*0.33)*0.02*7850</f>
        <v>26.286117499999996</v>
      </c>
      <c r="N124" s="18">
        <f t="shared" si="22"/>
        <v>1.8926004599999997</v>
      </c>
      <c r="O124" s="16">
        <f>0.4135*2*0.53-0.3135*0.33</f>
        <v>0.33485499999999996</v>
      </c>
      <c r="P124" s="18">
        <f t="shared" si="23"/>
        <v>24.109559999999998</v>
      </c>
    </row>
    <row r="125" spans="1:17" ht="24">
      <c r="A125" s="12">
        <v>124</v>
      </c>
      <c r="B125" s="2" t="s">
        <v>872</v>
      </c>
      <c r="C125" s="2" t="s">
        <v>873</v>
      </c>
      <c r="D125" s="1" t="s">
        <v>909</v>
      </c>
      <c r="E125" s="13" t="s">
        <v>974</v>
      </c>
      <c r="F125" s="2" t="s">
        <v>881</v>
      </c>
      <c r="G125" s="12" t="s">
        <v>822</v>
      </c>
      <c r="H125" s="14" t="s">
        <v>823</v>
      </c>
      <c r="I125" s="3">
        <v>4</v>
      </c>
      <c r="J125" s="16">
        <f>JG</f>
        <v>4</v>
      </c>
      <c r="K125" s="13">
        <v>36</v>
      </c>
      <c r="L125" s="16">
        <f t="shared" si="21"/>
        <v>144</v>
      </c>
      <c r="M125" s="16">
        <f>(0.22*0.53-0.17*0.5*0.18)*0.02*7850</f>
        <v>15.9041</v>
      </c>
      <c r="N125" s="18">
        <f t="shared" si="22"/>
        <v>2.2901904000000002</v>
      </c>
      <c r="O125" s="16">
        <f>0.22*2*0.53-0.17*0.18</f>
        <v>0.2026</v>
      </c>
      <c r="P125" s="18">
        <f t="shared" si="23"/>
        <v>29.174399999999999</v>
      </c>
    </row>
    <row r="126" spans="1:17" ht="24">
      <c r="A126" s="12">
        <v>125</v>
      </c>
      <c r="B126" s="2" t="s">
        <v>872</v>
      </c>
      <c r="C126" s="2" t="s">
        <v>873</v>
      </c>
      <c r="D126" s="1" t="s">
        <v>909</v>
      </c>
      <c r="E126" s="13" t="s">
        <v>974</v>
      </c>
      <c r="F126" s="2" t="s">
        <v>882</v>
      </c>
      <c r="G126" s="12" t="s">
        <v>822</v>
      </c>
      <c r="H126" s="14" t="s">
        <v>823</v>
      </c>
      <c r="I126" s="3">
        <v>8</v>
      </c>
      <c r="J126" s="16">
        <f>JG</f>
        <v>8</v>
      </c>
      <c r="K126" s="13">
        <v>36</v>
      </c>
      <c r="L126" s="16">
        <f t="shared" si="21"/>
        <v>288</v>
      </c>
      <c r="M126" s="16">
        <f>(0.175*0.35-0.125*0.5*0.3)*0.02*7850</f>
        <v>6.6724999999999994</v>
      </c>
      <c r="N126" s="18">
        <f t="shared" si="22"/>
        <v>1.9216799999999998</v>
      </c>
      <c r="O126" s="16">
        <f>0.175*2*0.35-0.125*0.3</f>
        <v>8.4999999999999992E-2</v>
      </c>
      <c r="P126" s="18">
        <f t="shared" si="23"/>
        <v>24.479999999999997</v>
      </c>
    </row>
    <row r="127" spans="1:17" ht="36">
      <c r="A127" s="12">
        <v>126</v>
      </c>
      <c r="B127" s="2" t="s">
        <v>352</v>
      </c>
      <c r="C127" s="2" t="s">
        <v>883</v>
      </c>
      <c r="D127" s="1" t="s">
        <v>989</v>
      </c>
      <c r="E127" s="13" t="s">
        <v>971</v>
      </c>
      <c r="F127" s="2" t="s">
        <v>884</v>
      </c>
      <c r="G127" s="12" t="s">
        <v>822</v>
      </c>
      <c r="H127" s="14" t="s">
        <v>823</v>
      </c>
      <c r="I127" s="3" t="s">
        <v>885</v>
      </c>
      <c r="J127" s="16">
        <f>JG</f>
        <v>319.5</v>
      </c>
      <c r="K127" s="13">
        <v>1</v>
      </c>
      <c r="L127" s="16">
        <f t="shared" si="21"/>
        <v>319.5</v>
      </c>
      <c r="M127" s="16">
        <v>121</v>
      </c>
      <c r="N127" s="18">
        <f t="shared" si="22"/>
        <v>38.659500000000001</v>
      </c>
      <c r="O127" s="16">
        <v>2.04</v>
      </c>
      <c r="P127" s="18">
        <f t="shared" si="23"/>
        <v>651.78</v>
      </c>
    </row>
    <row r="128" spans="1:17" ht="36">
      <c r="A128" s="12">
        <v>127</v>
      </c>
      <c r="B128" s="2" t="s">
        <v>352</v>
      </c>
      <c r="C128" s="2" t="s">
        <v>883</v>
      </c>
      <c r="D128" s="1" t="s">
        <v>990</v>
      </c>
      <c r="E128" s="13" t="s">
        <v>971</v>
      </c>
      <c r="F128" s="2" t="s">
        <v>884</v>
      </c>
      <c r="G128" s="12" t="s">
        <v>822</v>
      </c>
      <c r="H128" s="14" t="s">
        <v>823</v>
      </c>
      <c r="I128" s="3" t="s">
        <v>886</v>
      </c>
      <c r="J128" s="16">
        <f>JG</f>
        <v>8.6</v>
      </c>
      <c r="K128" s="13">
        <v>18</v>
      </c>
      <c r="L128" s="16">
        <f t="shared" si="21"/>
        <v>154.79999999999998</v>
      </c>
      <c r="M128" s="16">
        <v>121</v>
      </c>
      <c r="N128" s="18">
        <f t="shared" si="22"/>
        <v>18.730799999999999</v>
      </c>
      <c r="O128" s="16">
        <v>2.04</v>
      </c>
      <c r="P128" s="18">
        <f t="shared" si="23"/>
        <v>315.79199999999997</v>
      </c>
    </row>
    <row r="129" spans="1:16" ht="48">
      <c r="A129" s="12">
        <v>128</v>
      </c>
      <c r="B129" s="2" t="s">
        <v>352</v>
      </c>
      <c r="C129" s="2" t="s">
        <v>883</v>
      </c>
      <c r="D129" s="1" t="s">
        <v>738</v>
      </c>
      <c r="E129" s="13" t="s">
        <v>971</v>
      </c>
      <c r="F129" s="2" t="s">
        <v>237</v>
      </c>
      <c r="G129" s="12" t="s">
        <v>822</v>
      </c>
      <c r="H129" s="14" t="s">
        <v>823</v>
      </c>
      <c r="I129" s="3" t="s">
        <v>887</v>
      </c>
      <c r="J129" s="16">
        <f>JG</f>
        <v>293.89999999999998</v>
      </c>
      <c r="K129" s="13">
        <v>1</v>
      </c>
      <c r="L129" s="16">
        <f t="shared" si="21"/>
        <v>293.89999999999998</v>
      </c>
      <c r="M129" s="16">
        <v>14</v>
      </c>
      <c r="N129" s="18">
        <f t="shared" si="22"/>
        <v>4.1145999999999994</v>
      </c>
      <c r="O129" s="16">
        <v>0.57599999999999996</v>
      </c>
      <c r="P129" s="18">
        <f t="shared" si="23"/>
        <v>169.28639999999999</v>
      </c>
    </row>
    <row r="130" spans="1:16" ht="36">
      <c r="A130" s="12">
        <v>129</v>
      </c>
      <c r="B130" s="2" t="s">
        <v>352</v>
      </c>
      <c r="C130" s="2" t="s">
        <v>883</v>
      </c>
      <c r="D130" s="1" t="s">
        <v>400</v>
      </c>
      <c r="E130" s="13" t="s">
        <v>974</v>
      </c>
      <c r="F130" s="2" t="s">
        <v>888</v>
      </c>
      <c r="G130" s="12" t="s">
        <v>822</v>
      </c>
      <c r="H130" s="14" t="s">
        <v>823</v>
      </c>
      <c r="I130" s="3" t="s">
        <v>889</v>
      </c>
      <c r="J130" s="16">
        <f>JG</f>
        <v>72</v>
      </c>
      <c r="K130" s="13">
        <v>1</v>
      </c>
      <c r="L130" s="16">
        <f t="shared" si="21"/>
        <v>72</v>
      </c>
      <c r="M130" s="16">
        <f>0.144*0.404*0.005*7850</f>
        <v>2.2834079999999997</v>
      </c>
      <c r="N130" s="18">
        <f t="shared" si="22"/>
        <v>0.16440537599999999</v>
      </c>
      <c r="O130" s="16">
        <f>0.144*2*0.404</f>
        <v>0.116352</v>
      </c>
      <c r="P130" s="18">
        <f t="shared" si="23"/>
        <v>8.377343999999999</v>
      </c>
    </row>
    <row r="131" spans="1:16" ht="36">
      <c r="A131" s="12">
        <v>130</v>
      </c>
      <c r="B131" s="2" t="s">
        <v>352</v>
      </c>
      <c r="C131" s="2" t="s">
        <v>883</v>
      </c>
      <c r="D131" s="1" t="s">
        <v>400</v>
      </c>
      <c r="E131" s="13" t="s">
        <v>974</v>
      </c>
      <c r="F131" s="2" t="s">
        <v>890</v>
      </c>
      <c r="G131" s="12" t="s">
        <v>822</v>
      </c>
      <c r="H131" s="14" t="s">
        <v>823</v>
      </c>
      <c r="I131" s="3" t="s">
        <v>891</v>
      </c>
      <c r="J131" s="16">
        <f>JG</f>
        <v>160</v>
      </c>
      <c r="K131" s="13">
        <v>1</v>
      </c>
      <c r="L131" s="16">
        <f t="shared" si="21"/>
        <v>160</v>
      </c>
      <c r="M131" s="16">
        <f>0.096*0.374*0.005*7850</f>
        <v>1.4092319999999998</v>
      </c>
      <c r="N131" s="18">
        <f t="shared" si="22"/>
        <v>0.22547711999999995</v>
      </c>
      <c r="O131" s="16">
        <f>0.096*2*0.374</f>
        <v>7.1807999999999997E-2</v>
      </c>
      <c r="P131" s="18">
        <f t="shared" si="23"/>
        <v>11.489279999999999</v>
      </c>
    </row>
    <row r="132" spans="1:16" ht="36">
      <c r="A132" s="12">
        <v>131</v>
      </c>
      <c r="B132" s="2" t="s">
        <v>352</v>
      </c>
      <c r="C132" s="2" t="s">
        <v>883</v>
      </c>
      <c r="D132" s="1" t="s">
        <v>892</v>
      </c>
      <c r="E132" s="13" t="s">
        <v>971</v>
      </c>
      <c r="F132" s="2" t="s">
        <v>347</v>
      </c>
      <c r="G132" s="12" t="s">
        <v>822</v>
      </c>
      <c r="H132" s="14" t="s">
        <v>823</v>
      </c>
      <c r="I132" s="3" t="s">
        <v>129</v>
      </c>
      <c r="J132" s="16">
        <f>JG</f>
        <v>8.6999999999999993</v>
      </c>
      <c r="K132" s="13">
        <v>40</v>
      </c>
      <c r="L132" s="16">
        <f t="shared" si="21"/>
        <v>348</v>
      </c>
      <c r="M132" s="16">
        <v>65.400000000000006</v>
      </c>
      <c r="N132" s="18">
        <f t="shared" si="22"/>
        <v>22.7592</v>
      </c>
      <c r="O132" s="16">
        <v>1.56</v>
      </c>
      <c r="P132" s="18">
        <f t="shared" si="23"/>
        <v>542.88</v>
      </c>
    </row>
    <row r="133" spans="1:16" ht="36">
      <c r="A133" s="12">
        <v>132</v>
      </c>
      <c r="B133" s="2" t="s">
        <v>352</v>
      </c>
      <c r="C133" s="2" t="s">
        <v>883</v>
      </c>
      <c r="D133" s="1" t="s">
        <v>400</v>
      </c>
      <c r="E133" s="13" t="s">
        <v>974</v>
      </c>
      <c r="F133" s="2" t="s">
        <v>893</v>
      </c>
      <c r="G133" s="12" t="s">
        <v>822</v>
      </c>
      <c r="H133" s="14" t="s">
        <v>823</v>
      </c>
      <c r="I133" s="3" t="s">
        <v>894</v>
      </c>
      <c r="J133" s="16">
        <f>JG</f>
        <v>160</v>
      </c>
      <c r="K133" s="13">
        <v>1</v>
      </c>
      <c r="L133" s="16">
        <f t="shared" si="21"/>
        <v>160</v>
      </c>
      <c r="M133" s="16">
        <f>0.144*0.404*0.008*7850</f>
        <v>3.6534528000000002</v>
      </c>
      <c r="N133" s="18">
        <f t="shared" si="22"/>
        <v>0.58455244800000006</v>
      </c>
      <c r="O133" s="16">
        <f>0.144*2*0.404</f>
        <v>0.116352</v>
      </c>
      <c r="P133" s="18">
        <f t="shared" si="23"/>
        <v>18.616319999999998</v>
      </c>
    </row>
    <row r="134" spans="1:16" ht="36">
      <c r="A134" s="12">
        <v>133</v>
      </c>
      <c r="B134" s="2" t="s">
        <v>352</v>
      </c>
      <c r="C134" s="2" t="s">
        <v>883</v>
      </c>
      <c r="D134" s="1" t="s">
        <v>895</v>
      </c>
      <c r="E134" s="13" t="s">
        <v>972</v>
      </c>
      <c r="F134" s="2" t="s">
        <v>896</v>
      </c>
      <c r="G134" s="12" t="s">
        <v>822</v>
      </c>
      <c r="H134" s="14" t="s">
        <v>823</v>
      </c>
      <c r="I134" s="3" t="s">
        <v>897</v>
      </c>
      <c r="J134" s="16">
        <f>JG</f>
        <v>4.0028115119250867</v>
      </c>
      <c r="K134" s="13">
        <v>6</v>
      </c>
      <c r="L134" s="16">
        <f t="shared" si="21"/>
        <v>24.01686907155052</v>
      </c>
      <c r="M134" s="16">
        <v>14.5</v>
      </c>
      <c r="N134" s="18">
        <f t="shared" si="22"/>
        <v>0.34824460153748255</v>
      </c>
      <c r="O134" s="16">
        <v>0.49299999999999999</v>
      </c>
      <c r="P134" s="18">
        <f t="shared" si="23"/>
        <v>11.840316452274406</v>
      </c>
    </row>
    <row r="135" spans="1:16" ht="36">
      <c r="A135" s="12">
        <v>134</v>
      </c>
      <c r="B135" s="2" t="s">
        <v>352</v>
      </c>
      <c r="C135" s="2" t="s">
        <v>883</v>
      </c>
      <c r="D135" s="1" t="s">
        <v>895</v>
      </c>
      <c r="E135" s="13" t="s">
        <v>972</v>
      </c>
      <c r="F135" s="2" t="s">
        <v>896</v>
      </c>
      <c r="G135" s="12" t="s">
        <v>822</v>
      </c>
      <c r="H135" s="14" t="s">
        <v>823</v>
      </c>
      <c r="I135" s="3" t="s">
        <v>898</v>
      </c>
      <c r="J135" s="16">
        <f>JG</f>
        <v>4.0360872141221131</v>
      </c>
      <c r="K135" s="13">
        <v>14</v>
      </c>
      <c r="L135" s="16">
        <f t="shared" si="21"/>
        <v>56.505220997709586</v>
      </c>
      <c r="M135" s="16">
        <v>14.5</v>
      </c>
      <c r="N135" s="18">
        <f t="shared" si="22"/>
        <v>0.8193257044667891</v>
      </c>
      <c r="O135" s="16">
        <v>0.49299999999999999</v>
      </c>
      <c r="P135" s="18">
        <f t="shared" si="23"/>
        <v>27.857073951870824</v>
      </c>
    </row>
    <row r="136" spans="1:16" ht="36">
      <c r="A136" s="12">
        <v>135</v>
      </c>
      <c r="B136" s="2" t="s">
        <v>352</v>
      </c>
      <c r="C136" s="2" t="s">
        <v>883</v>
      </c>
      <c r="D136" s="1" t="s">
        <v>895</v>
      </c>
      <c r="E136" s="13" t="s">
        <v>972</v>
      </c>
      <c r="F136" s="2" t="s">
        <v>896</v>
      </c>
      <c r="G136" s="12" t="s">
        <v>822</v>
      </c>
      <c r="H136" s="14" t="s">
        <v>823</v>
      </c>
      <c r="I136" s="3" t="s">
        <v>899</v>
      </c>
      <c r="J136" s="16">
        <f>JG</f>
        <v>4.2426406871192848</v>
      </c>
      <c r="K136" s="13">
        <f>2*35+12</f>
        <v>82</v>
      </c>
      <c r="L136" s="16">
        <f t="shared" si="21"/>
        <v>347.89653634378135</v>
      </c>
      <c r="M136" s="16">
        <v>14.5</v>
      </c>
      <c r="N136" s="18">
        <f t="shared" si="22"/>
        <v>5.0444997769848294</v>
      </c>
      <c r="O136" s="16">
        <v>0.49299999999999999</v>
      </c>
      <c r="P136" s="18">
        <f t="shared" si="23"/>
        <v>171.51299241748421</v>
      </c>
    </row>
    <row r="137" spans="1:16" ht="36">
      <c r="A137" s="12">
        <v>136</v>
      </c>
      <c r="B137" s="2" t="s">
        <v>352</v>
      </c>
      <c r="C137" s="2" t="s">
        <v>883</v>
      </c>
      <c r="D137" s="1" t="s">
        <v>895</v>
      </c>
      <c r="E137" s="13" t="s">
        <v>972</v>
      </c>
      <c r="F137" s="2" t="s">
        <v>896</v>
      </c>
      <c r="G137" s="12" t="s">
        <v>822</v>
      </c>
      <c r="H137" s="14" t="s">
        <v>823</v>
      </c>
      <c r="I137" s="3" t="s">
        <v>900</v>
      </c>
      <c r="J137" s="16">
        <f>JG</f>
        <v>4.0194060506497724</v>
      </c>
      <c r="K137" s="13">
        <f>3*6-2</f>
        <v>16</v>
      </c>
      <c r="L137" s="16">
        <f t="shared" ref="L137:L168" si="24">J137*K137</f>
        <v>64.310496810396359</v>
      </c>
      <c r="M137" s="16">
        <v>14.5</v>
      </c>
      <c r="N137" s="18">
        <f t="shared" ref="N137:N168" si="25">L137*M137*0.001</f>
        <v>0.93250220375074722</v>
      </c>
      <c r="O137" s="16">
        <v>0.49299999999999999</v>
      </c>
      <c r="P137" s="18">
        <f t="shared" ref="P137:P168" si="26">O137*L137</f>
        <v>31.705074927525406</v>
      </c>
    </row>
    <row r="138" spans="1:16" ht="36">
      <c r="A138" s="12">
        <v>137</v>
      </c>
      <c r="B138" s="2" t="s">
        <v>352</v>
      </c>
      <c r="C138" s="2" t="s">
        <v>883</v>
      </c>
      <c r="D138" s="1" t="s">
        <v>895</v>
      </c>
      <c r="E138" s="13" t="s">
        <v>972</v>
      </c>
      <c r="F138" s="2" t="s">
        <v>896</v>
      </c>
      <c r="G138" s="12" t="s">
        <v>822</v>
      </c>
      <c r="H138" s="14" t="s">
        <v>823</v>
      </c>
      <c r="I138" s="3" t="s">
        <v>902</v>
      </c>
      <c r="J138" s="16">
        <f>JG</f>
        <v>3.905124837953327</v>
      </c>
      <c r="K138" s="13">
        <v>6</v>
      </c>
      <c r="L138" s="16">
        <f t="shared" si="24"/>
        <v>23.430749027719962</v>
      </c>
      <c r="M138" s="16">
        <v>14.5</v>
      </c>
      <c r="N138" s="18">
        <f t="shared" si="25"/>
        <v>0.33974586090193948</v>
      </c>
      <c r="O138" s="16">
        <v>0.49299999999999999</v>
      </c>
      <c r="P138" s="18">
        <f t="shared" si="26"/>
        <v>11.551359270665941</v>
      </c>
    </row>
    <row r="139" spans="1:16" ht="36">
      <c r="A139" s="12">
        <v>138</v>
      </c>
      <c r="B139" s="2" t="s">
        <v>352</v>
      </c>
      <c r="C139" s="2" t="s">
        <v>883</v>
      </c>
      <c r="D139" s="1" t="s">
        <v>895</v>
      </c>
      <c r="E139" s="13" t="s">
        <v>972</v>
      </c>
      <c r="F139" s="2" t="s">
        <v>896</v>
      </c>
      <c r="G139" s="12" t="s">
        <v>822</v>
      </c>
      <c r="H139" s="14" t="s">
        <v>823</v>
      </c>
      <c r="I139" s="3" t="s">
        <v>901</v>
      </c>
      <c r="J139" s="16">
        <f>JG</f>
        <v>3.8263069662534916</v>
      </c>
      <c r="K139" s="13">
        <v>10</v>
      </c>
      <c r="L139" s="16">
        <f t="shared" si="24"/>
        <v>38.263069662534917</v>
      </c>
      <c r="M139" s="16">
        <v>14.5</v>
      </c>
      <c r="N139" s="18">
        <f t="shared" si="25"/>
        <v>0.55481451010675631</v>
      </c>
      <c r="O139" s="16">
        <v>0.49299999999999999</v>
      </c>
      <c r="P139" s="18">
        <f t="shared" si="26"/>
        <v>18.863693343629713</v>
      </c>
    </row>
    <row r="140" spans="1:16" ht="24">
      <c r="A140" s="12">
        <v>139</v>
      </c>
      <c r="B140" s="2" t="s">
        <v>741</v>
      </c>
      <c r="C140" s="2" t="s">
        <v>903</v>
      </c>
      <c r="D140" s="1" t="s">
        <v>904</v>
      </c>
      <c r="E140" s="13" t="s">
        <v>971</v>
      </c>
      <c r="F140" s="2" t="s">
        <v>906</v>
      </c>
      <c r="G140" s="12" t="s">
        <v>822</v>
      </c>
      <c r="H140" s="14" t="s">
        <v>823</v>
      </c>
      <c r="I140" s="3" t="s">
        <v>1041</v>
      </c>
      <c r="J140" s="16">
        <f>JG</f>
        <v>6.2749999999999968</v>
      </c>
      <c r="K140" s="13">
        <v>2</v>
      </c>
      <c r="L140" s="16">
        <f t="shared" si="24"/>
        <v>12.549999999999994</v>
      </c>
      <c r="M140" s="16">
        <v>40.4</v>
      </c>
      <c r="N140" s="18">
        <f t="shared" si="25"/>
        <v>0.50701999999999969</v>
      </c>
      <c r="O140" s="16">
        <v>1.01</v>
      </c>
      <c r="P140" s="18">
        <f t="shared" si="26"/>
        <v>12.675499999999994</v>
      </c>
    </row>
    <row r="141" spans="1:16" ht="24">
      <c r="A141" s="12">
        <v>140</v>
      </c>
      <c r="B141" s="2" t="s">
        <v>741</v>
      </c>
      <c r="C141" s="2" t="s">
        <v>903</v>
      </c>
      <c r="D141" s="1" t="s">
        <v>909</v>
      </c>
      <c r="E141" s="13" t="s">
        <v>974</v>
      </c>
      <c r="F141" s="2" t="s">
        <v>1086</v>
      </c>
      <c r="G141" s="12" t="s">
        <v>969</v>
      </c>
      <c r="H141" s="14" t="s">
        <v>970</v>
      </c>
      <c r="I141" s="3">
        <v>1</v>
      </c>
      <c r="J141" s="16">
        <f>JG</f>
        <v>1</v>
      </c>
      <c r="K141" s="13">
        <v>2</v>
      </c>
      <c r="L141" s="16">
        <f t="shared" ref="L141:L143" si="27">J141*K141</f>
        <v>2</v>
      </c>
      <c r="M141" s="16">
        <f>0.42*0.34*0.025*7850</f>
        <v>28.024500000000003</v>
      </c>
      <c r="N141" s="18">
        <f t="shared" ref="N141:N143" si="28">L141*M141*0.001</f>
        <v>5.6049000000000009E-2</v>
      </c>
      <c r="O141" s="16">
        <f>0.42*0.34</f>
        <v>0.14280000000000001</v>
      </c>
      <c r="P141" s="18">
        <f t="shared" ref="P141:P143" si="29">O141*L141</f>
        <v>0.28560000000000002</v>
      </c>
    </row>
    <row r="142" spans="1:16" ht="24">
      <c r="A142" s="12">
        <v>141</v>
      </c>
      <c r="B142" s="2" t="s">
        <v>741</v>
      </c>
      <c r="C142" s="2" t="s">
        <v>903</v>
      </c>
      <c r="D142" s="1" t="s">
        <v>909</v>
      </c>
      <c r="E142" s="13" t="s">
        <v>974</v>
      </c>
      <c r="F142" s="2" t="s">
        <v>712</v>
      </c>
      <c r="G142" s="12" t="s">
        <v>969</v>
      </c>
      <c r="H142" s="14" t="s">
        <v>970</v>
      </c>
      <c r="I142" s="3">
        <v>4</v>
      </c>
      <c r="J142" s="16">
        <f>JG</f>
        <v>4</v>
      </c>
      <c r="K142" s="13">
        <v>2</v>
      </c>
      <c r="L142" s="16">
        <f t="shared" si="27"/>
        <v>8</v>
      </c>
      <c r="M142" s="16"/>
      <c r="N142" s="18">
        <f t="shared" si="28"/>
        <v>0</v>
      </c>
      <c r="O142" s="16"/>
      <c r="P142" s="18">
        <f t="shared" si="29"/>
        <v>0</v>
      </c>
    </row>
    <row r="143" spans="1:16" ht="24">
      <c r="A143" s="12">
        <v>142</v>
      </c>
      <c r="B143" s="2" t="s">
        <v>741</v>
      </c>
      <c r="C143" s="2" t="s">
        <v>903</v>
      </c>
      <c r="D143" s="1" t="s">
        <v>909</v>
      </c>
      <c r="E143" s="13" t="s">
        <v>974</v>
      </c>
      <c r="F143" s="2" t="s">
        <v>712</v>
      </c>
      <c r="G143" s="12" t="s">
        <v>969</v>
      </c>
      <c r="H143" s="14" t="s">
        <v>970</v>
      </c>
      <c r="I143" s="3">
        <v>6</v>
      </c>
      <c r="J143" s="16">
        <f>JG</f>
        <v>6</v>
      </c>
      <c r="K143" s="13">
        <v>2</v>
      </c>
      <c r="L143" s="16">
        <f t="shared" si="27"/>
        <v>12</v>
      </c>
      <c r="M143" s="16"/>
      <c r="N143" s="18">
        <f t="shared" si="28"/>
        <v>0</v>
      </c>
      <c r="O143" s="16"/>
      <c r="P143" s="18">
        <f t="shared" si="29"/>
        <v>0</v>
      </c>
    </row>
    <row r="144" spans="1:16" ht="24">
      <c r="A144" s="12">
        <v>143</v>
      </c>
      <c r="B144" s="2" t="s">
        <v>741</v>
      </c>
      <c r="C144" s="2" t="s">
        <v>903</v>
      </c>
      <c r="D144" s="1" t="s">
        <v>907</v>
      </c>
      <c r="E144" s="13" t="s">
        <v>971</v>
      </c>
      <c r="F144" s="2" t="s">
        <v>211</v>
      </c>
      <c r="G144" s="12" t="s">
        <v>822</v>
      </c>
      <c r="H144" s="14" t="s">
        <v>823</v>
      </c>
      <c r="I144" s="3" t="s">
        <v>908</v>
      </c>
      <c r="J144" s="16">
        <f>JG</f>
        <v>6.2699999999999969</v>
      </c>
      <c r="K144" s="13">
        <v>12</v>
      </c>
      <c r="L144" s="16">
        <f t="shared" ref="L144:L175" si="30">J144*K144</f>
        <v>75.239999999999966</v>
      </c>
      <c r="M144" s="16">
        <v>71.8</v>
      </c>
      <c r="N144" s="18">
        <f t="shared" ref="N144:N175" si="31">L144*M144*0.001</f>
        <v>5.402231999999997</v>
      </c>
      <c r="O144" s="16">
        <v>1.46</v>
      </c>
      <c r="P144" s="18">
        <f t="shared" ref="P144:P175" si="32">O144*L144</f>
        <v>109.85039999999995</v>
      </c>
    </row>
    <row r="145" spans="1:16" ht="24">
      <c r="A145" s="12">
        <v>144</v>
      </c>
      <c r="B145" s="2" t="s">
        <v>741</v>
      </c>
      <c r="C145" s="2" t="s">
        <v>903</v>
      </c>
      <c r="D145" s="1" t="s">
        <v>909</v>
      </c>
      <c r="E145" s="13" t="s">
        <v>974</v>
      </c>
      <c r="F145" s="2" t="s">
        <v>910</v>
      </c>
      <c r="G145" s="12" t="s">
        <v>822</v>
      </c>
      <c r="H145" s="14" t="s">
        <v>823</v>
      </c>
      <c r="I145" s="3">
        <v>1</v>
      </c>
      <c r="J145" s="16">
        <f>JG</f>
        <v>1</v>
      </c>
      <c r="K145" s="13">
        <v>12</v>
      </c>
      <c r="L145" s="16">
        <f t="shared" si="30"/>
        <v>12</v>
      </c>
      <c r="M145" s="16">
        <f>0.57*0.53*0.03*7850</f>
        <v>71.144549999999995</v>
      </c>
      <c r="N145" s="18">
        <f t="shared" si="31"/>
        <v>0.85373460000000001</v>
      </c>
      <c r="O145" s="16">
        <f>0.57*0.53</f>
        <v>0.30209999999999998</v>
      </c>
      <c r="P145" s="18">
        <f t="shared" si="32"/>
        <v>3.6251999999999995</v>
      </c>
    </row>
    <row r="146" spans="1:16" ht="24">
      <c r="A146" s="12">
        <v>145</v>
      </c>
      <c r="B146" s="2" t="s">
        <v>741</v>
      </c>
      <c r="C146" s="2" t="s">
        <v>903</v>
      </c>
      <c r="D146" s="1" t="s">
        <v>909</v>
      </c>
      <c r="E146" s="13" t="s">
        <v>974</v>
      </c>
      <c r="F146" s="2" t="s">
        <v>911</v>
      </c>
      <c r="G146" s="12" t="s">
        <v>822</v>
      </c>
      <c r="H146" s="14" t="s">
        <v>823</v>
      </c>
      <c r="I146" s="3">
        <v>2</v>
      </c>
      <c r="J146" s="16">
        <f>JG</f>
        <v>2</v>
      </c>
      <c r="K146" s="13">
        <v>12</v>
      </c>
      <c r="L146" s="16">
        <f t="shared" si="30"/>
        <v>24</v>
      </c>
      <c r="M146" s="16">
        <f>(0.2805*0.35-0.1805*0.5*0.3)*0.014*7850</f>
        <v>7.8138899999999998</v>
      </c>
      <c r="N146" s="18">
        <f t="shared" si="31"/>
        <v>0.18753335999999998</v>
      </c>
      <c r="O146" s="16">
        <f>0.2805*2*0.35-0.1805*0.3</f>
        <v>0.14219999999999999</v>
      </c>
      <c r="P146" s="18">
        <f t="shared" si="32"/>
        <v>3.4127999999999998</v>
      </c>
    </row>
    <row r="147" spans="1:16" ht="24">
      <c r="A147" s="12">
        <v>146</v>
      </c>
      <c r="B147" s="2" t="s">
        <v>741</v>
      </c>
      <c r="C147" s="2" t="s">
        <v>903</v>
      </c>
      <c r="D147" s="1" t="s">
        <v>909</v>
      </c>
      <c r="E147" s="13" t="s">
        <v>974</v>
      </c>
      <c r="F147" s="2" t="s">
        <v>912</v>
      </c>
      <c r="G147" s="12" t="s">
        <v>822</v>
      </c>
      <c r="H147" s="14" t="s">
        <v>823</v>
      </c>
      <c r="I147" s="3">
        <v>4</v>
      </c>
      <c r="J147" s="16">
        <f>JG</f>
        <v>4</v>
      </c>
      <c r="K147" s="13">
        <v>12</v>
      </c>
      <c r="L147" s="16">
        <f t="shared" si="30"/>
        <v>48</v>
      </c>
      <c r="M147" s="16">
        <f>(0.16*0.375-0.11*0.5*0.125)*0.014*7850</f>
        <v>5.8384374999999995</v>
      </c>
      <c r="N147" s="18">
        <f t="shared" si="31"/>
        <v>0.28024500000000002</v>
      </c>
      <c r="O147" s="16">
        <f>0.16*2*0.375-0.11*0.125</f>
        <v>0.10625</v>
      </c>
      <c r="P147" s="18">
        <f t="shared" si="32"/>
        <v>5.0999999999999996</v>
      </c>
    </row>
    <row r="148" spans="1:16" ht="24">
      <c r="A148" s="12">
        <v>147</v>
      </c>
      <c r="B148" s="2" t="s">
        <v>741</v>
      </c>
      <c r="C148" s="2" t="s">
        <v>903</v>
      </c>
      <c r="D148" s="1" t="s">
        <v>909</v>
      </c>
      <c r="E148" s="13" t="s">
        <v>974</v>
      </c>
      <c r="F148" s="2" t="s">
        <v>913</v>
      </c>
      <c r="G148" s="12" t="s">
        <v>822</v>
      </c>
      <c r="H148" s="14" t="s">
        <v>823</v>
      </c>
      <c r="I148" s="3">
        <v>8</v>
      </c>
      <c r="J148" s="16">
        <f>JG</f>
        <v>8</v>
      </c>
      <c r="K148" s="13">
        <v>12</v>
      </c>
      <c r="L148" s="16">
        <f t="shared" si="30"/>
        <v>96</v>
      </c>
      <c r="M148" s="16">
        <f>(0.115*0.25-0.065*0.5*0.2)*0.014*7850</f>
        <v>2.4452749999999996</v>
      </c>
      <c r="N148" s="18">
        <f t="shared" si="31"/>
        <v>0.23474639999999997</v>
      </c>
      <c r="O148" s="16">
        <f>0.115*2*0.25-0.065*0.2</f>
        <v>4.4499999999999998E-2</v>
      </c>
      <c r="P148" s="18">
        <f t="shared" si="32"/>
        <v>4.2720000000000002</v>
      </c>
    </row>
    <row r="149" spans="1:16" ht="36">
      <c r="A149" s="12">
        <v>148</v>
      </c>
      <c r="B149" s="2" t="s">
        <v>498</v>
      </c>
      <c r="C149" s="2" t="s">
        <v>915</v>
      </c>
      <c r="D149" s="1" t="s">
        <v>811</v>
      </c>
      <c r="E149" s="13" t="s">
        <v>971</v>
      </c>
      <c r="F149" s="2" t="s">
        <v>226</v>
      </c>
      <c r="G149" s="12" t="s">
        <v>822</v>
      </c>
      <c r="H149" s="14" t="s">
        <v>823</v>
      </c>
      <c r="I149" s="3">
        <v>4.4000000000000004</v>
      </c>
      <c r="J149" s="16">
        <f>JG</f>
        <v>4.4000000000000004</v>
      </c>
      <c r="K149" s="13">
        <v>1</v>
      </c>
      <c r="L149" s="16">
        <f t="shared" si="30"/>
        <v>4.4000000000000004</v>
      </c>
      <c r="M149" s="16">
        <v>29.9</v>
      </c>
      <c r="N149" s="18">
        <f t="shared" si="31"/>
        <v>0.13156000000000001</v>
      </c>
      <c r="O149" s="16">
        <v>0.96199999999999997</v>
      </c>
      <c r="P149" s="18">
        <f t="shared" si="32"/>
        <v>4.2328000000000001</v>
      </c>
    </row>
    <row r="150" spans="1:16" ht="36">
      <c r="A150" s="12">
        <v>149</v>
      </c>
      <c r="B150" s="2" t="s">
        <v>917</v>
      </c>
      <c r="C150" s="2" t="s">
        <v>915</v>
      </c>
      <c r="D150" s="1" t="s">
        <v>918</v>
      </c>
      <c r="E150" s="13" t="s">
        <v>971</v>
      </c>
      <c r="F150" s="2" t="s">
        <v>172</v>
      </c>
      <c r="G150" s="12" t="s">
        <v>822</v>
      </c>
      <c r="H150" s="14" t="s">
        <v>823</v>
      </c>
      <c r="I150" s="3">
        <v>4</v>
      </c>
      <c r="J150" s="16">
        <f>JG</f>
        <v>4</v>
      </c>
      <c r="K150" s="13">
        <v>2</v>
      </c>
      <c r="L150" s="16">
        <f t="shared" si="30"/>
        <v>8</v>
      </c>
      <c r="M150" s="16">
        <v>55.8</v>
      </c>
      <c r="N150" s="18">
        <f t="shared" si="31"/>
        <v>0.44639999999999996</v>
      </c>
      <c r="O150" s="16">
        <v>1.35</v>
      </c>
      <c r="P150" s="18">
        <f t="shared" si="32"/>
        <v>10.8</v>
      </c>
    </row>
    <row r="151" spans="1:16" ht="36">
      <c r="A151" s="12">
        <v>150</v>
      </c>
      <c r="B151" s="2" t="s">
        <v>505</v>
      </c>
      <c r="C151" s="2" t="s">
        <v>915</v>
      </c>
      <c r="D151" s="1" t="s">
        <v>916</v>
      </c>
      <c r="E151" s="13" t="s">
        <v>971</v>
      </c>
      <c r="F151" s="2" t="s">
        <v>237</v>
      </c>
      <c r="G151" s="12" t="s">
        <v>822</v>
      </c>
      <c r="H151" s="14" t="s">
        <v>823</v>
      </c>
      <c r="I151" s="3">
        <v>4.4000000000000004</v>
      </c>
      <c r="J151" s="16">
        <f>JG</f>
        <v>4.4000000000000004</v>
      </c>
      <c r="K151" s="13">
        <v>1</v>
      </c>
      <c r="L151" s="16">
        <f t="shared" si="30"/>
        <v>4.4000000000000004</v>
      </c>
      <c r="M151" s="16">
        <v>14</v>
      </c>
      <c r="N151" s="18">
        <f t="shared" si="31"/>
        <v>6.1600000000000009E-2</v>
      </c>
      <c r="O151" s="16">
        <v>0.57599999999999996</v>
      </c>
      <c r="P151" s="18">
        <f t="shared" si="32"/>
        <v>2.5344000000000002</v>
      </c>
    </row>
    <row r="152" spans="1:16" ht="36">
      <c r="A152" s="12">
        <v>151</v>
      </c>
      <c r="B152" s="2" t="s">
        <v>506</v>
      </c>
      <c r="C152" s="2" t="s">
        <v>915</v>
      </c>
      <c r="D152" s="1" t="s">
        <v>916</v>
      </c>
      <c r="E152" s="13" t="s">
        <v>971</v>
      </c>
      <c r="F152" s="2" t="s">
        <v>237</v>
      </c>
      <c r="G152" s="12" t="s">
        <v>822</v>
      </c>
      <c r="H152" s="14" t="s">
        <v>823</v>
      </c>
      <c r="I152" s="3">
        <v>4.4000000000000004</v>
      </c>
      <c r="J152" s="16">
        <f>JG</f>
        <v>4.4000000000000004</v>
      </c>
      <c r="K152" s="13">
        <v>1</v>
      </c>
      <c r="L152" s="16">
        <f t="shared" si="30"/>
        <v>4.4000000000000004</v>
      </c>
      <c r="M152" s="16">
        <v>14</v>
      </c>
      <c r="N152" s="18">
        <f t="shared" si="31"/>
        <v>6.1600000000000009E-2</v>
      </c>
      <c r="O152" s="16">
        <v>0.57599999999999996</v>
      </c>
      <c r="P152" s="18">
        <f t="shared" si="32"/>
        <v>2.5344000000000002</v>
      </c>
    </row>
    <row r="153" spans="1:16" ht="36">
      <c r="A153" s="12">
        <v>152</v>
      </c>
      <c r="B153" s="2" t="s">
        <v>507</v>
      </c>
      <c r="C153" s="2" t="s">
        <v>915</v>
      </c>
      <c r="D153" s="1" t="s">
        <v>916</v>
      </c>
      <c r="E153" s="13" t="s">
        <v>971</v>
      </c>
      <c r="F153" s="2" t="s">
        <v>237</v>
      </c>
      <c r="G153" s="12" t="s">
        <v>822</v>
      </c>
      <c r="H153" s="14" t="s">
        <v>823</v>
      </c>
      <c r="I153" s="3">
        <v>4.4000000000000004</v>
      </c>
      <c r="J153" s="16">
        <f>JG</f>
        <v>4.4000000000000004</v>
      </c>
      <c r="K153" s="13">
        <v>1</v>
      </c>
      <c r="L153" s="16">
        <f t="shared" si="30"/>
        <v>4.4000000000000004</v>
      </c>
      <c r="M153" s="16">
        <v>14</v>
      </c>
      <c r="N153" s="18">
        <f t="shared" si="31"/>
        <v>6.1600000000000009E-2</v>
      </c>
      <c r="O153" s="16">
        <v>0.57599999999999996</v>
      </c>
      <c r="P153" s="18">
        <f t="shared" si="32"/>
        <v>2.5344000000000002</v>
      </c>
    </row>
    <row r="154" spans="1:16" ht="36">
      <c r="A154" s="12">
        <v>153</v>
      </c>
      <c r="B154" s="2" t="s">
        <v>919</v>
      </c>
      <c r="C154" s="2" t="s">
        <v>915</v>
      </c>
      <c r="D154" s="1" t="s">
        <v>920</v>
      </c>
      <c r="E154" s="13" t="s">
        <v>971</v>
      </c>
      <c r="F154" s="2" t="s">
        <v>444</v>
      </c>
      <c r="G154" s="12" t="s">
        <v>822</v>
      </c>
      <c r="H154" s="14" t="s">
        <v>823</v>
      </c>
      <c r="I154" s="3">
        <v>1.9</v>
      </c>
      <c r="J154" s="16">
        <f>JG</f>
        <v>1.9</v>
      </c>
      <c r="K154" s="13">
        <v>2</v>
      </c>
      <c r="L154" s="16">
        <f t="shared" si="30"/>
        <v>3.8</v>
      </c>
      <c r="M154" s="16">
        <v>36.700000000000003</v>
      </c>
      <c r="N154" s="18">
        <f t="shared" si="31"/>
        <v>0.13946</v>
      </c>
      <c r="O154" s="16">
        <v>1.1599999999999999</v>
      </c>
      <c r="P154" s="18">
        <f t="shared" si="32"/>
        <v>4.4079999999999995</v>
      </c>
    </row>
    <row r="155" spans="1:16" ht="36">
      <c r="A155" s="12">
        <v>154</v>
      </c>
      <c r="B155" s="2" t="s">
        <v>919</v>
      </c>
      <c r="C155" s="2" t="s">
        <v>915</v>
      </c>
      <c r="D155" s="1" t="s">
        <v>812</v>
      </c>
      <c r="E155" s="13" t="s">
        <v>971</v>
      </c>
      <c r="F155" s="2" t="s">
        <v>226</v>
      </c>
      <c r="G155" s="12" t="s">
        <v>822</v>
      </c>
      <c r="H155" s="14" t="s">
        <v>823</v>
      </c>
      <c r="I155" s="3" t="s">
        <v>922</v>
      </c>
      <c r="J155" s="16">
        <f>JG</f>
        <v>5.85</v>
      </c>
      <c r="K155" s="13">
        <v>3</v>
      </c>
      <c r="L155" s="16">
        <f t="shared" si="30"/>
        <v>17.549999999999997</v>
      </c>
      <c r="M155" s="16">
        <v>29.9</v>
      </c>
      <c r="N155" s="18">
        <f t="shared" si="31"/>
        <v>0.52474499999999991</v>
      </c>
      <c r="O155" s="16">
        <v>0.96199999999999997</v>
      </c>
      <c r="P155" s="18">
        <f t="shared" si="32"/>
        <v>16.883099999999995</v>
      </c>
    </row>
    <row r="156" spans="1:16" ht="36">
      <c r="A156" s="12">
        <v>155</v>
      </c>
      <c r="B156" s="2" t="s">
        <v>919</v>
      </c>
      <c r="C156" s="2" t="s">
        <v>915</v>
      </c>
      <c r="D156" s="1" t="s">
        <v>400</v>
      </c>
      <c r="E156" s="13" t="s">
        <v>974</v>
      </c>
      <c r="F156" s="2" t="s">
        <v>924</v>
      </c>
      <c r="G156" s="12" t="s">
        <v>822</v>
      </c>
      <c r="H156" s="14" t="s">
        <v>823</v>
      </c>
      <c r="I156" s="3" t="s">
        <v>134</v>
      </c>
      <c r="J156" s="16">
        <f>JG</f>
        <v>12</v>
      </c>
      <c r="K156" s="13">
        <v>1</v>
      </c>
      <c r="L156" s="16">
        <f t="shared" si="30"/>
        <v>12</v>
      </c>
      <c r="M156" s="16">
        <f>0.071*0.282*0.006*7850</f>
        <v>0.94303619999999977</v>
      </c>
      <c r="N156" s="18">
        <f t="shared" si="31"/>
        <v>1.1316434399999997E-2</v>
      </c>
      <c r="O156" s="16">
        <f>0.071*2*0.282</f>
        <v>4.0043999999999989E-2</v>
      </c>
      <c r="P156" s="18">
        <f t="shared" si="32"/>
        <v>0.48052799999999984</v>
      </c>
    </row>
    <row r="157" spans="1:16" ht="36">
      <c r="A157" s="12">
        <v>156</v>
      </c>
      <c r="B157" s="2" t="s">
        <v>919</v>
      </c>
      <c r="C157" s="2" t="s">
        <v>915</v>
      </c>
      <c r="D157" s="1" t="s">
        <v>738</v>
      </c>
      <c r="E157" s="13" t="s">
        <v>971</v>
      </c>
      <c r="F157" s="2" t="s">
        <v>237</v>
      </c>
      <c r="G157" s="12" t="s">
        <v>822</v>
      </c>
      <c r="H157" s="14" t="s">
        <v>823</v>
      </c>
      <c r="I157" s="3" t="s">
        <v>927</v>
      </c>
      <c r="J157" s="16">
        <f>JG</f>
        <v>0.35</v>
      </c>
      <c r="K157" s="13">
        <v>2</v>
      </c>
      <c r="L157" s="16">
        <f t="shared" si="30"/>
        <v>0.7</v>
      </c>
      <c r="M157" s="16">
        <v>14</v>
      </c>
      <c r="N157" s="18">
        <f t="shared" si="31"/>
        <v>9.7999999999999997E-3</v>
      </c>
      <c r="O157" s="16">
        <v>0.57599999999999996</v>
      </c>
      <c r="P157" s="18">
        <f t="shared" si="32"/>
        <v>0.40319999999999995</v>
      </c>
    </row>
    <row r="158" spans="1:16" ht="36">
      <c r="A158" s="12">
        <v>157</v>
      </c>
      <c r="B158" s="2" t="s">
        <v>919</v>
      </c>
      <c r="C158" s="2" t="s">
        <v>915</v>
      </c>
      <c r="D158" s="1" t="s">
        <v>400</v>
      </c>
      <c r="E158" s="13" t="s">
        <v>974</v>
      </c>
      <c r="F158" s="2" t="s">
        <v>239</v>
      </c>
      <c r="G158" s="12" t="s">
        <v>822</v>
      </c>
      <c r="H158" s="14" t="s">
        <v>823</v>
      </c>
      <c r="I158" s="3" t="s">
        <v>248</v>
      </c>
      <c r="J158" s="16">
        <f>JG</f>
        <v>6</v>
      </c>
      <c r="K158" s="13">
        <v>1</v>
      </c>
      <c r="L158" s="16">
        <f t="shared" si="30"/>
        <v>6</v>
      </c>
      <c r="M158" s="16">
        <f>0.072*0.176*0.005*7850</f>
        <v>0.49737599999999993</v>
      </c>
      <c r="N158" s="18">
        <f t="shared" si="31"/>
        <v>2.9842559999999994E-3</v>
      </c>
      <c r="O158" s="16">
        <f>0.072*2*0.176</f>
        <v>2.5343999999999995E-2</v>
      </c>
      <c r="P158" s="18">
        <f t="shared" si="32"/>
        <v>0.15206399999999998</v>
      </c>
    </row>
    <row r="159" spans="1:16" ht="36">
      <c r="A159" s="12">
        <v>158</v>
      </c>
      <c r="B159" s="2" t="s">
        <v>929</v>
      </c>
      <c r="C159" s="2" t="s">
        <v>914</v>
      </c>
      <c r="D159" s="1" t="s">
        <v>920</v>
      </c>
      <c r="E159" s="13" t="s">
        <v>971</v>
      </c>
      <c r="F159" s="2" t="s">
        <v>251</v>
      </c>
      <c r="G159" s="12" t="s">
        <v>822</v>
      </c>
      <c r="H159" s="14" t="s">
        <v>823</v>
      </c>
      <c r="I159" s="3">
        <v>1.9</v>
      </c>
      <c r="J159" s="16">
        <f>JG</f>
        <v>1.9</v>
      </c>
      <c r="K159" s="13">
        <v>2</v>
      </c>
      <c r="L159" s="16">
        <f t="shared" si="30"/>
        <v>3.8</v>
      </c>
      <c r="M159" s="16">
        <v>36.700000000000003</v>
      </c>
      <c r="N159" s="18">
        <f t="shared" si="31"/>
        <v>0.13946</v>
      </c>
      <c r="O159" s="16">
        <v>1.1599999999999999</v>
      </c>
      <c r="P159" s="18">
        <f t="shared" si="32"/>
        <v>4.4079999999999995</v>
      </c>
    </row>
    <row r="160" spans="1:16" ht="36">
      <c r="A160" s="12">
        <v>159</v>
      </c>
      <c r="B160" s="2" t="s">
        <v>930</v>
      </c>
      <c r="C160" s="2" t="s">
        <v>914</v>
      </c>
      <c r="D160" s="1" t="s">
        <v>812</v>
      </c>
      <c r="E160" s="13" t="s">
        <v>971</v>
      </c>
      <c r="F160" s="2" t="s">
        <v>703</v>
      </c>
      <c r="G160" s="12" t="s">
        <v>822</v>
      </c>
      <c r="H160" s="14" t="s">
        <v>823</v>
      </c>
      <c r="I160" s="3" t="s">
        <v>921</v>
      </c>
      <c r="J160" s="16">
        <f>JG</f>
        <v>5.85</v>
      </c>
      <c r="K160" s="13">
        <v>3</v>
      </c>
      <c r="L160" s="16">
        <f t="shared" si="30"/>
        <v>17.549999999999997</v>
      </c>
      <c r="M160" s="16">
        <v>29.9</v>
      </c>
      <c r="N160" s="18">
        <f t="shared" si="31"/>
        <v>0.52474499999999991</v>
      </c>
      <c r="O160" s="16">
        <v>0.96199999999999997</v>
      </c>
      <c r="P160" s="18">
        <f t="shared" si="32"/>
        <v>16.883099999999995</v>
      </c>
    </row>
    <row r="161" spans="1:16" ht="36">
      <c r="A161" s="12">
        <v>160</v>
      </c>
      <c r="B161" s="2" t="s">
        <v>930</v>
      </c>
      <c r="C161" s="2" t="s">
        <v>914</v>
      </c>
      <c r="D161" s="1" t="s">
        <v>400</v>
      </c>
      <c r="E161" s="13" t="s">
        <v>974</v>
      </c>
      <c r="F161" s="2" t="s">
        <v>923</v>
      </c>
      <c r="G161" s="12" t="s">
        <v>822</v>
      </c>
      <c r="H161" s="14" t="s">
        <v>823</v>
      </c>
      <c r="I161" s="3" t="s">
        <v>925</v>
      </c>
      <c r="J161" s="16">
        <f>JG</f>
        <v>12</v>
      </c>
      <c r="K161" s="13">
        <v>1</v>
      </c>
      <c r="L161" s="16">
        <f t="shared" si="30"/>
        <v>12</v>
      </c>
      <c r="M161" s="16">
        <f>0.071*0.282*0.006*7850</f>
        <v>0.94303619999999977</v>
      </c>
      <c r="N161" s="18">
        <f t="shared" si="31"/>
        <v>1.1316434399999997E-2</v>
      </c>
      <c r="O161" s="16">
        <f>0.071*2*0.282</f>
        <v>4.0043999999999989E-2</v>
      </c>
      <c r="P161" s="18">
        <f t="shared" si="32"/>
        <v>0.48052799999999984</v>
      </c>
    </row>
    <row r="162" spans="1:16" ht="36">
      <c r="A162" s="12">
        <v>161</v>
      </c>
      <c r="B162" s="2" t="s">
        <v>930</v>
      </c>
      <c r="C162" s="2" t="s">
        <v>914</v>
      </c>
      <c r="D162" s="1" t="s">
        <v>738</v>
      </c>
      <c r="E162" s="13" t="s">
        <v>971</v>
      </c>
      <c r="F162" s="2" t="s">
        <v>739</v>
      </c>
      <c r="G162" s="12" t="s">
        <v>822</v>
      </c>
      <c r="H162" s="14" t="s">
        <v>823</v>
      </c>
      <c r="I162" s="3" t="s">
        <v>926</v>
      </c>
      <c r="J162" s="16">
        <f>JG</f>
        <v>0.35</v>
      </c>
      <c r="K162" s="13">
        <v>2</v>
      </c>
      <c r="L162" s="16">
        <f t="shared" si="30"/>
        <v>0.7</v>
      </c>
      <c r="M162" s="16">
        <v>14</v>
      </c>
      <c r="N162" s="18">
        <f t="shared" si="31"/>
        <v>9.7999999999999997E-3</v>
      </c>
      <c r="O162" s="16">
        <v>0.57599999999999996</v>
      </c>
      <c r="P162" s="18">
        <f t="shared" si="32"/>
        <v>0.40319999999999995</v>
      </c>
    </row>
    <row r="163" spans="1:16" ht="36">
      <c r="A163" s="12">
        <v>162</v>
      </c>
      <c r="B163" s="2" t="s">
        <v>930</v>
      </c>
      <c r="C163" s="2" t="s">
        <v>914</v>
      </c>
      <c r="D163" s="1" t="s">
        <v>400</v>
      </c>
      <c r="E163" s="13" t="s">
        <v>974</v>
      </c>
      <c r="F163" s="2" t="s">
        <v>817</v>
      </c>
      <c r="G163" s="12" t="s">
        <v>822</v>
      </c>
      <c r="H163" s="14" t="s">
        <v>823</v>
      </c>
      <c r="I163" s="3" t="s">
        <v>928</v>
      </c>
      <c r="J163" s="16">
        <f>JG</f>
        <v>6</v>
      </c>
      <c r="K163" s="13">
        <v>1</v>
      </c>
      <c r="L163" s="16">
        <f t="shared" si="30"/>
        <v>6</v>
      </c>
      <c r="M163" s="16">
        <f>0.072*0.176*0.005*7850</f>
        <v>0.49737599999999993</v>
      </c>
      <c r="N163" s="18">
        <f t="shared" si="31"/>
        <v>2.9842559999999994E-3</v>
      </c>
      <c r="O163" s="16">
        <f>0.072*2*0.176</f>
        <v>2.5343999999999995E-2</v>
      </c>
      <c r="P163" s="18">
        <f t="shared" si="32"/>
        <v>0.15206399999999998</v>
      </c>
    </row>
    <row r="164" spans="1:16" ht="36">
      <c r="A164" s="12">
        <v>163</v>
      </c>
      <c r="B164" s="2" t="s">
        <v>808</v>
      </c>
      <c r="C164" s="2" t="s">
        <v>914</v>
      </c>
      <c r="D164" s="1" t="s">
        <v>918</v>
      </c>
      <c r="E164" s="13" t="s">
        <v>971</v>
      </c>
      <c r="F164" s="2" t="s">
        <v>172</v>
      </c>
      <c r="G164" s="12" t="s">
        <v>822</v>
      </c>
      <c r="H164" s="14" t="s">
        <v>823</v>
      </c>
      <c r="I164" s="3" t="s">
        <v>931</v>
      </c>
      <c r="J164" s="16">
        <f>JG</f>
        <v>88.25</v>
      </c>
      <c r="K164" s="13">
        <v>1</v>
      </c>
      <c r="L164" s="16">
        <f t="shared" si="30"/>
        <v>88.25</v>
      </c>
      <c r="M164" s="16">
        <v>55.8</v>
      </c>
      <c r="N164" s="18">
        <f t="shared" si="31"/>
        <v>4.9243499999999996</v>
      </c>
      <c r="O164" s="16">
        <v>1.35</v>
      </c>
      <c r="P164" s="18">
        <f t="shared" si="32"/>
        <v>119.1375</v>
      </c>
    </row>
    <row r="165" spans="1:16" ht="36">
      <c r="A165" s="12">
        <v>164</v>
      </c>
      <c r="B165" s="2" t="s">
        <v>808</v>
      </c>
      <c r="C165" s="2" t="s">
        <v>914</v>
      </c>
      <c r="D165" s="1" t="s">
        <v>738</v>
      </c>
      <c r="E165" s="13" t="s">
        <v>971</v>
      </c>
      <c r="F165" s="2" t="s">
        <v>237</v>
      </c>
      <c r="G165" s="12" t="s">
        <v>822</v>
      </c>
      <c r="H165" s="14" t="s">
        <v>823</v>
      </c>
      <c r="I165" s="3" t="s">
        <v>932</v>
      </c>
      <c r="J165" s="16">
        <f>JG</f>
        <v>17.399999999999999</v>
      </c>
      <c r="K165" s="13">
        <v>1</v>
      </c>
      <c r="L165" s="16">
        <f t="shared" si="30"/>
        <v>17.399999999999999</v>
      </c>
      <c r="M165" s="16">
        <v>14</v>
      </c>
      <c r="N165" s="18">
        <f t="shared" si="31"/>
        <v>0.24359999999999998</v>
      </c>
      <c r="O165" s="16">
        <v>0.57599999999999996</v>
      </c>
      <c r="P165" s="18">
        <f t="shared" si="32"/>
        <v>10.022399999999999</v>
      </c>
    </row>
    <row r="166" spans="1:16" ht="36">
      <c r="A166" s="12">
        <v>165</v>
      </c>
      <c r="B166" s="2" t="s">
        <v>808</v>
      </c>
      <c r="C166" s="2" t="s">
        <v>914</v>
      </c>
      <c r="D166" s="1" t="s">
        <v>400</v>
      </c>
      <c r="E166" s="13" t="s">
        <v>974</v>
      </c>
      <c r="F166" s="2" t="s">
        <v>749</v>
      </c>
      <c r="G166" s="12" t="s">
        <v>822</v>
      </c>
      <c r="H166" s="14" t="s">
        <v>823</v>
      </c>
      <c r="I166" s="3">
        <v>7</v>
      </c>
      <c r="J166" s="16">
        <f>JG</f>
        <v>7</v>
      </c>
      <c r="K166" s="13">
        <v>1</v>
      </c>
      <c r="L166" s="16">
        <f t="shared" si="30"/>
        <v>7</v>
      </c>
      <c r="M166" s="16">
        <f>0.096*0.27*0.005*7850</f>
        <v>1.01736</v>
      </c>
      <c r="N166" s="18">
        <f t="shared" si="31"/>
        <v>7.1215200000000001E-3</v>
      </c>
      <c r="O166" s="16">
        <f>0.096*2*0.27</f>
        <v>5.1840000000000004E-2</v>
      </c>
      <c r="P166" s="18">
        <f t="shared" si="32"/>
        <v>0.36288000000000004</v>
      </c>
    </row>
    <row r="167" spans="1:16" ht="36">
      <c r="A167" s="12">
        <v>166</v>
      </c>
      <c r="B167" s="2" t="s">
        <v>808</v>
      </c>
      <c r="C167" s="2" t="s">
        <v>914</v>
      </c>
      <c r="D167" s="1" t="s">
        <v>400</v>
      </c>
      <c r="E167" s="13" t="s">
        <v>974</v>
      </c>
      <c r="F167" s="2" t="s">
        <v>748</v>
      </c>
      <c r="G167" s="12" t="s">
        <v>822</v>
      </c>
      <c r="H167" s="14" t="s">
        <v>823</v>
      </c>
      <c r="I167" s="3" t="s">
        <v>640</v>
      </c>
      <c r="J167" s="16">
        <f>JG</f>
        <v>8</v>
      </c>
      <c r="K167" s="13">
        <v>1</v>
      </c>
      <c r="L167" s="16">
        <f t="shared" si="30"/>
        <v>8</v>
      </c>
      <c r="M167" s="16">
        <f>0.059*0.232*0.005*7850</f>
        <v>0.53725400000000001</v>
      </c>
      <c r="N167" s="18">
        <f t="shared" si="31"/>
        <v>4.2980320000000002E-3</v>
      </c>
      <c r="O167" s="16">
        <f>0.059*2*0.232</f>
        <v>2.7376000000000001E-2</v>
      </c>
      <c r="P167" s="18">
        <f t="shared" si="32"/>
        <v>0.21900800000000001</v>
      </c>
    </row>
    <row r="168" spans="1:16" ht="36">
      <c r="A168" s="12">
        <v>167</v>
      </c>
      <c r="B168" s="2" t="s">
        <v>808</v>
      </c>
      <c r="C168" s="2" t="s">
        <v>914</v>
      </c>
      <c r="D168" s="1" t="s">
        <v>412</v>
      </c>
      <c r="E168" s="13" t="s">
        <v>971</v>
      </c>
      <c r="F168" s="2" t="s">
        <v>146</v>
      </c>
      <c r="G168" s="12" t="s">
        <v>822</v>
      </c>
      <c r="H168" s="14" t="s">
        <v>823</v>
      </c>
      <c r="I168" s="3" t="s">
        <v>933</v>
      </c>
      <c r="J168" s="16">
        <f>JG</f>
        <v>10.35</v>
      </c>
      <c r="K168" s="13">
        <v>1</v>
      </c>
      <c r="L168" s="16">
        <f t="shared" si="30"/>
        <v>10.35</v>
      </c>
      <c r="M168" s="16">
        <v>20.9</v>
      </c>
      <c r="N168" s="18">
        <f t="shared" si="31"/>
        <v>0.21631499999999998</v>
      </c>
      <c r="O168" s="16">
        <v>0.77500000000000002</v>
      </c>
      <c r="P168" s="18">
        <f t="shared" si="32"/>
        <v>8.0212500000000002</v>
      </c>
    </row>
    <row r="169" spans="1:16" ht="36">
      <c r="A169" s="12">
        <v>168</v>
      </c>
      <c r="B169" s="2" t="s">
        <v>808</v>
      </c>
      <c r="C169" s="2" t="s">
        <v>914</v>
      </c>
      <c r="D169" s="1" t="s">
        <v>400</v>
      </c>
      <c r="E169" s="13" t="s">
        <v>974</v>
      </c>
      <c r="F169" s="2" t="s">
        <v>934</v>
      </c>
      <c r="G169" s="12" t="s">
        <v>822</v>
      </c>
      <c r="H169" s="14" t="s">
        <v>823</v>
      </c>
      <c r="I169" s="3" t="s">
        <v>640</v>
      </c>
      <c r="J169" s="16">
        <f>JG</f>
        <v>8</v>
      </c>
      <c r="K169" s="13">
        <v>1</v>
      </c>
      <c r="L169" s="16">
        <f t="shared" si="30"/>
        <v>8</v>
      </c>
      <c r="M169" s="16">
        <f>0.096*0.27*0.0055*7850</f>
        <v>1.1190959999999999</v>
      </c>
      <c r="N169" s="18">
        <f t="shared" si="31"/>
        <v>8.9527679999999998E-3</v>
      </c>
      <c r="O169" s="16">
        <f>0.096*2*0.27</f>
        <v>5.1840000000000004E-2</v>
      </c>
      <c r="P169" s="18">
        <f t="shared" si="32"/>
        <v>0.41472000000000003</v>
      </c>
    </row>
    <row r="170" spans="1:16" ht="36">
      <c r="A170" s="12">
        <v>169</v>
      </c>
      <c r="B170" s="2" t="s">
        <v>808</v>
      </c>
      <c r="C170" s="2" t="s">
        <v>914</v>
      </c>
      <c r="D170" s="1" t="s">
        <v>400</v>
      </c>
      <c r="E170" s="13" t="s">
        <v>974</v>
      </c>
      <c r="F170" s="2" t="s">
        <v>935</v>
      </c>
      <c r="G170" s="12" t="s">
        <v>822</v>
      </c>
      <c r="H170" s="14" t="s">
        <v>823</v>
      </c>
      <c r="I170" s="3" t="s">
        <v>248</v>
      </c>
      <c r="J170" s="16">
        <f>JG</f>
        <v>6</v>
      </c>
      <c r="K170" s="13">
        <v>1</v>
      </c>
      <c r="L170" s="16">
        <f t="shared" si="30"/>
        <v>6</v>
      </c>
      <c r="M170" s="16">
        <f>0.059*0.232*0.0055*7850</f>
        <v>0.59097939999999993</v>
      </c>
      <c r="N170" s="18">
        <f t="shared" si="31"/>
        <v>3.5458763999999996E-3</v>
      </c>
      <c r="O170" s="16">
        <f>0.059*2*0.232</f>
        <v>2.7376000000000001E-2</v>
      </c>
      <c r="P170" s="18">
        <f t="shared" si="32"/>
        <v>0.16425600000000001</v>
      </c>
    </row>
    <row r="171" spans="1:16" ht="36">
      <c r="A171" s="12">
        <v>170</v>
      </c>
      <c r="B171" s="2" t="s">
        <v>808</v>
      </c>
      <c r="C171" s="2" t="s">
        <v>914</v>
      </c>
      <c r="D171" s="1" t="s">
        <v>936</v>
      </c>
      <c r="E171" s="13" t="s">
        <v>971</v>
      </c>
      <c r="F171" s="2" t="s">
        <v>937</v>
      </c>
      <c r="G171" s="12" t="s">
        <v>822</v>
      </c>
      <c r="H171" s="14" t="s">
        <v>823</v>
      </c>
      <c r="I171" s="3" t="s">
        <v>941</v>
      </c>
      <c r="J171" s="16">
        <f>JG</f>
        <v>33.475000000000001</v>
      </c>
      <c r="K171" s="13">
        <v>1</v>
      </c>
      <c r="L171" s="16">
        <f t="shared" si="30"/>
        <v>33.475000000000001</v>
      </c>
      <c r="M171" s="16">
        <v>29</v>
      </c>
      <c r="N171" s="18">
        <f t="shared" si="31"/>
        <v>0.97077500000000017</v>
      </c>
      <c r="O171" s="16">
        <v>0.97399999999999998</v>
      </c>
      <c r="P171" s="18">
        <f t="shared" si="32"/>
        <v>32.604649999999999</v>
      </c>
    </row>
    <row r="172" spans="1:16" ht="36">
      <c r="A172" s="12">
        <v>171</v>
      </c>
      <c r="B172" s="2" t="s">
        <v>808</v>
      </c>
      <c r="C172" s="2" t="s">
        <v>914</v>
      </c>
      <c r="D172" s="1" t="s">
        <v>400</v>
      </c>
      <c r="E172" s="13" t="s">
        <v>974</v>
      </c>
      <c r="F172" s="2" t="s">
        <v>938</v>
      </c>
      <c r="G172" s="12" t="s">
        <v>822</v>
      </c>
      <c r="H172" s="14" t="s">
        <v>823</v>
      </c>
      <c r="I172" s="3" t="s">
        <v>940</v>
      </c>
      <c r="J172" s="16">
        <f>JG</f>
        <v>25</v>
      </c>
      <c r="K172" s="13">
        <v>1</v>
      </c>
      <c r="L172" s="16">
        <f t="shared" si="30"/>
        <v>25</v>
      </c>
      <c r="M172" s="16">
        <f>0.096*0.27*0.006*7850</f>
        <v>1.2208320000000001</v>
      </c>
      <c r="N172" s="18">
        <f t="shared" si="31"/>
        <v>3.0520800000000004E-2</v>
      </c>
      <c r="O172" s="16">
        <f>0.096*2*0.27</f>
        <v>5.1840000000000004E-2</v>
      </c>
      <c r="P172" s="18">
        <f t="shared" si="32"/>
        <v>1.296</v>
      </c>
    </row>
    <row r="173" spans="1:16" ht="36">
      <c r="A173" s="12">
        <v>172</v>
      </c>
      <c r="B173" s="2" t="s">
        <v>808</v>
      </c>
      <c r="C173" s="2" t="s">
        <v>914</v>
      </c>
      <c r="D173" s="1" t="s">
        <v>400</v>
      </c>
      <c r="E173" s="13" t="s">
        <v>974</v>
      </c>
      <c r="F173" s="2" t="s">
        <v>939</v>
      </c>
      <c r="G173" s="12" t="s">
        <v>822</v>
      </c>
      <c r="H173" s="14" t="s">
        <v>823</v>
      </c>
      <c r="I173" s="3">
        <v>2</v>
      </c>
      <c r="J173" s="16">
        <f>JG</f>
        <v>2</v>
      </c>
      <c r="K173" s="13">
        <v>1</v>
      </c>
      <c r="L173" s="16">
        <f t="shared" si="30"/>
        <v>2</v>
      </c>
      <c r="M173" s="16">
        <f>0.059*0.232*0.006*7850</f>
        <v>0.64470480000000008</v>
      </c>
      <c r="N173" s="18">
        <f t="shared" si="31"/>
        <v>1.2894096000000002E-3</v>
      </c>
      <c r="O173" s="16">
        <f>0.059*2*0.232</f>
        <v>2.7376000000000001E-2</v>
      </c>
      <c r="P173" s="18">
        <f t="shared" si="32"/>
        <v>5.4752000000000002E-2</v>
      </c>
    </row>
    <row r="174" spans="1:16" ht="36">
      <c r="A174" s="12">
        <v>173</v>
      </c>
      <c r="B174" s="2" t="s">
        <v>808</v>
      </c>
      <c r="C174" s="2" t="s">
        <v>914</v>
      </c>
      <c r="D174" s="1" t="s">
        <v>942</v>
      </c>
      <c r="E174" s="13" t="s">
        <v>972</v>
      </c>
      <c r="F174" s="2" t="s">
        <v>943</v>
      </c>
      <c r="G174" s="12" t="s">
        <v>822</v>
      </c>
      <c r="H174" s="14" t="s">
        <v>823</v>
      </c>
      <c r="I174" s="3" t="s">
        <v>806</v>
      </c>
      <c r="J174" s="16">
        <f>JG</f>
        <v>3.905124837953327</v>
      </c>
      <c r="K174" s="13">
        <v>10</v>
      </c>
      <c r="L174" s="16">
        <f t="shared" si="30"/>
        <v>39.05124837953327</v>
      </c>
      <c r="M174" s="16">
        <v>14.5</v>
      </c>
      <c r="N174" s="18">
        <f t="shared" si="31"/>
        <v>0.56624310150323243</v>
      </c>
      <c r="O174" s="16">
        <v>0.49299999999999999</v>
      </c>
      <c r="P174" s="18">
        <f t="shared" si="32"/>
        <v>19.252265451109903</v>
      </c>
    </row>
    <row r="175" spans="1:16" ht="36">
      <c r="A175" s="12">
        <v>174</v>
      </c>
      <c r="B175" s="2" t="s">
        <v>808</v>
      </c>
      <c r="C175" s="2" t="s">
        <v>914</v>
      </c>
      <c r="D175" s="1" t="s">
        <v>942</v>
      </c>
      <c r="E175" s="13" t="s">
        <v>972</v>
      </c>
      <c r="F175" s="2" t="s">
        <v>943</v>
      </c>
      <c r="G175" s="12" t="s">
        <v>822</v>
      </c>
      <c r="H175" s="14" t="s">
        <v>823</v>
      </c>
      <c r="I175" s="3" t="s">
        <v>944</v>
      </c>
      <c r="J175" s="16">
        <f>JG</f>
        <v>1.9525624189766635</v>
      </c>
      <c r="K175" s="13">
        <v>8</v>
      </c>
      <c r="L175" s="16">
        <f t="shared" si="30"/>
        <v>15.620499351813308</v>
      </c>
      <c r="M175" s="16">
        <v>14.5</v>
      </c>
      <c r="N175" s="18">
        <f t="shared" si="31"/>
        <v>0.22649724060129298</v>
      </c>
      <c r="O175" s="16">
        <v>0.49299999999999999</v>
      </c>
      <c r="P175" s="18">
        <f t="shared" si="32"/>
        <v>7.7009061804439609</v>
      </c>
    </row>
    <row r="176" spans="1:16" ht="36">
      <c r="A176" s="12">
        <v>175</v>
      </c>
      <c r="B176" s="2" t="s">
        <v>808</v>
      </c>
      <c r="C176" s="2" t="s">
        <v>914</v>
      </c>
      <c r="D176" s="1" t="s">
        <v>942</v>
      </c>
      <c r="E176" s="13" t="s">
        <v>972</v>
      </c>
      <c r="F176" s="2" t="s">
        <v>943</v>
      </c>
      <c r="G176" s="12" t="s">
        <v>822</v>
      </c>
      <c r="H176" s="14" t="s">
        <v>823</v>
      </c>
      <c r="I176" s="3" t="s">
        <v>945</v>
      </c>
      <c r="J176" s="16">
        <f>JG</f>
        <v>3.5355339059327378</v>
      </c>
      <c r="K176" s="13">
        <v>6</v>
      </c>
      <c r="L176" s="16">
        <f t="shared" ref="L176:L207" si="33">J176*K176</f>
        <v>21.213203435596427</v>
      </c>
      <c r="M176" s="16">
        <v>14.5</v>
      </c>
      <c r="N176" s="18">
        <f t="shared" ref="N176:N207" si="34">L176*M176*0.001</f>
        <v>0.30759144981614817</v>
      </c>
      <c r="O176" s="16">
        <v>0.49299999999999999</v>
      </c>
      <c r="P176" s="18">
        <f t="shared" ref="P176:P207" si="35">O176*L176</f>
        <v>10.458109293749038</v>
      </c>
    </row>
    <row r="177" spans="1:16" ht="36">
      <c r="A177" s="12">
        <v>176</v>
      </c>
      <c r="B177" s="2" t="s">
        <v>808</v>
      </c>
      <c r="C177" s="2" t="s">
        <v>914</v>
      </c>
      <c r="D177" s="1" t="s">
        <v>942</v>
      </c>
      <c r="E177" s="13" t="s">
        <v>972</v>
      </c>
      <c r="F177" s="2" t="s">
        <v>943</v>
      </c>
      <c r="G177" s="12" t="s">
        <v>822</v>
      </c>
      <c r="H177" s="14" t="s">
        <v>823</v>
      </c>
      <c r="I177" s="3" t="s">
        <v>946</v>
      </c>
      <c r="J177" s="16">
        <f>JG</f>
        <v>3.6055512754639891</v>
      </c>
      <c r="K177" s="13">
        <v>4</v>
      </c>
      <c r="L177" s="16">
        <f t="shared" si="33"/>
        <v>14.422205101855956</v>
      </c>
      <c r="M177" s="16">
        <v>14.5</v>
      </c>
      <c r="N177" s="18">
        <f t="shared" si="34"/>
        <v>0.20912197397691137</v>
      </c>
      <c r="O177" s="16">
        <v>0.49299999999999999</v>
      </c>
      <c r="P177" s="18">
        <f t="shared" si="35"/>
        <v>7.1101471152149864</v>
      </c>
    </row>
    <row r="178" spans="1:16" ht="24">
      <c r="A178" s="12">
        <v>177</v>
      </c>
      <c r="C178" s="2" t="s">
        <v>947</v>
      </c>
      <c r="D178" s="1" t="s">
        <v>854</v>
      </c>
      <c r="E178" s="13" t="s">
        <v>971</v>
      </c>
      <c r="F178" s="2" t="s">
        <v>237</v>
      </c>
      <c r="G178" s="12" t="s">
        <v>822</v>
      </c>
      <c r="H178" s="14" t="s">
        <v>823</v>
      </c>
      <c r="I178" s="3">
        <v>2</v>
      </c>
      <c r="J178" s="16">
        <f>JG</f>
        <v>2</v>
      </c>
      <c r="K178" s="13">
        <v>2</v>
      </c>
      <c r="L178" s="16">
        <f t="shared" si="33"/>
        <v>4</v>
      </c>
      <c r="M178" s="16">
        <v>14</v>
      </c>
      <c r="N178" s="18">
        <f t="shared" si="34"/>
        <v>5.6000000000000001E-2</v>
      </c>
      <c r="O178" s="16">
        <v>0.57599999999999996</v>
      </c>
      <c r="P178" s="18">
        <f t="shared" si="35"/>
        <v>2.3039999999999998</v>
      </c>
    </row>
    <row r="179" spans="1:16" ht="24">
      <c r="A179" s="12">
        <v>178</v>
      </c>
      <c r="C179" s="2" t="s">
        <v>947</v>
      </c>
      <c r="D179" s="1" t="s">
        <v>461</v>
      </c>
      <c r="E179" s="13" t="s">
        <v>972</v>
      </c>
      <c r="F179" s="2" t="s">
        <v>464</v>
      </c>
      <c r="G179" s="12" t="s">
        <v>822</v>
      </c>
      <c r="H179" s="14" t="s">
        <v>823</v>
      </c>
      <c r="I179" s="3" t="s">
        <v>948</v>
      </c>
      <c r="J179" s="16">
        <f>JG</f>
        <v>2.545584412271571</v>
      </c>
      <c r="K179" s="13">
        <v>2</v>
      </c>
      <c r="L179" s="16">
        <f t="shared" si="33"/>
        <v>5.0911688245431419</v>
      </c>
      <c r="M179" s="16">
        <v>10.5</v>
      </c>
      <c r="N179" s="18">
        <f t="shared" si="34"/>
        <v>5.3457272657702989E-2</v>
      </c>
      <c r="O179" s="16">
        <v>0.39300000000000002</v>
      </c>
      <c r="P179" s="18">
        <f t="shared" si="35"/>
        <v>2.0008293480454546</v>
      </c>
    </row>
    <row r="180" spans="1:16" ht="36">
      <c r="A180" s="12">
        <v>179</v>
      </c>
      <c r="C180" s="2" t="s">
        <v>949</v>
      </c>
      <c r="D180" s="1" t="s">
        <v>950</v>
      </c>
      <c r="E180" s="13" t="s">
        <v>971</v>
      </c>
      <c r="F180" s="2" t="s">
        <v>484</v>
      </c>
      <c r="G180" s="12" t="s">
        <v>822</v>
      </c>
      <c r="H180" s="14" t="s">
        <v>823</v>
      </c>
      <c r="I180" s="3" t="s">
        <v>1042</v>
      </c>
      <c r="J180" s="16">
        <f>JG</f>
        <v>2.8700000000000059</v>
      </c>
      <c r="K180" s="13">
        <v>3</v>
      </c>
      <c r="L180" s="16">
        <f t="shared" si="33"/>
        <v>8.6100000000000172</v>
      </c>
      <c r="M180" s="16">
        <v>49.9</v>
      </c>
      <c r="N180" s="18">
        <f t="shared" si="34"/>
        <v>0.42963900000000088</v>
      </c>
      <c r="O180" s="16">
        <v>1.1599999999999999</v>
      </c>
      <c r="P180" s="18">
        <f t="shared" si="35"/>
        <v>9.98760000000002</v>
      </c>
    </row>
    <row r="181" spans="1:16" ht="36">
      <c r="A181" s="12">
        <v>180</v>
      </c>
      <c r="C181" s="2" t="s">
        <v>949</v>
      </c>
      <c r="D181" s="1" t="s">
        <v>950</v>
      </c>
      <c r="F181" s="2" t="s">
        <v>966</v>
      </c>
      <c r="G181" s="12" t="s">
        <v>822</v>
      </c>
      <c r="H181" s="14" t="s">
        <v>823</v>
      </c>
      <c r="J181" s="16">
        <f>JG</f>
        <v>0</v>
      </c>
      <c r="K181" s="13">
        <v>3</v>
      </c>
      <c r="L181" s="16">
        <f t="shared" si="33"/>
        <v>0</v>
      </c>
      <c r="M181" s="16"/>
      <c r="N181" s="18">
        <f t="shared" si="34"/>
        <v>0</v>
      </c>
      <c r="O181" s="16"/>
      <c r="P181" s="18">
        <f t="shared" si="35"/>
        <v>0</v>
      </c>
    </row>
    <row r="182" spans="1:16" ht="36">
      <c r="A182" s="12">
        <v>181</v>
      </c>
      <c r="C182" s="2" t="s">
        <v>949</v>
      </c>
      <c r="D182" s="1" t="s">
        <v>950</v>
      </c>
      <c r="E182" s="13" t="s">
        <v>971</v>
      </c>
      <c r="F182" s="2" t="s">
        <v>226</v>
      </c>
      <c r="G182" s="12" t="s">
        <v>822</v>
      </c>
      <c r="H182" s="14" t="s">
        <v>823</v>
      </c>
      <c r="I182" s="3" t="s">
        <v>957</v>
      </c>
      <c r="J182" s="16">
        <f>JG</f>
        <v>0.9</v>
      </c>
      <c r="K182" s="13">
        <v>3</v>
      </c>
      <c r="L182" s="16">
        <f t="shared" si="33"/>
        <v>2.7</v>
      </c>
      <c r="M182" s="16">
        <v>29.9</v>
      </c>
      <c r="N182" s="18">
        <f t="shared" si="34"/>
        <v>8.073000000000001E-2</v>
      </c>
      <c r="O182" s="16">
        <v>0.96199999999999997</v>
      </c>
      <c r="P182" s="18">
        <f t="shared" si="35"/>
        <v>2.5973999999999999</v>
      </c>
    </row>
    <row r="183" spans="1:16" ht="36">
      <c r="A183" s="12">
        <v>182</v>
      </c>
      <c r="C183" s="2" t="s">
        <v>949</v>
      </c>
      <c r="D183" s="1" t="s">
        <v>950</v>
      </c>
      <c r="E183" s="13" t="s">
        <v>973</v>
      </c>
      <c r="F183" s="2" t="s">
        <v>475</v>
      </c>
      <c r="G183" s="12" t="s">
        <v>822</v>
      </c>
      <c r="H183" s="14" t="s">
        <v>823</v>
      </c>
      <c r="I183" s="3" t="s">
        <v>951</v>
      </c>
      <c r="J183" s="16">
        <f>JG</f>
        <v>1.2727922061357855</v>
      </c>
      <c r="K183" s="13">
        <v>3</v>
      </c>
      <c r="L183" s="16">
        <f t="shared" si="33"/>
        <v>3.8183766184073562</v>
      </c>
      <c r="M183" s="16">
        <v>7.47</v>
      </c>
      <c r="N183" s="18">
        <f t="shared" si="34"/>
        <v>2.8523273339502952E-2</v>
      </c>
      <c r="O183" s="16">
        <v>0.247</v>
      </c>
      <c r="P183" s="18">
        <f t="shared" si="35"/>
        <v>0.94313902474661693</v>
      </c>
    </row>
    <row r="184" spans="1:16" ht="36">
      <c r="A184" s="12">
        <v>183</v>
      </c>
      <c r="C184" s="2" t="s">
        <v>949</v>
      </c>
      <c r="D184" s="1" t="s">
        <v>952</v>
      </c>
      <c r="E184" s="13" t="s">
        <v>971</v>
      </c>
      <c r="F184" s="2" t="s">
        <v>482</v>
      </c>
      <c r="G184" s="12" t="s">
        <v>822</v>
      </c>
      <c r="H184" s="14" t="s">
        <v>823</v>
      </c>
      <c r="I184" s="3" t="s">
        <v>1043</v>
      </c>
      <c r="J184" s="16">
        <f>JG</f>
        <v>6.3500000000000059</v>
      </c>
      <c r="K184" s="13">
        <v>1</v>
      </c>
      <c r="L184" s="16">
        <f t="shared" si="33"/>
        <v>6.3500000000000059</v>
      </c>
      <c r="M184" s="16">
        <v>40.4</v>
      </c>
      <c r="N184" s="18">
        <f t="shared" si="34"/>
        <v>0.25654000000000027</v>
      </c>
      <c r="O184" s="16">
        <v>1.01</v>
      </c>
      <c r="P184" s="18">
        <f t="shared" si="35"/>
        <v>6.4135000000000062</v>
      </c>
    </row>
    <row r="185" spans="1:16" ht="36">
      <c r="A185" s="12">
        <v>184</v>
      </c>
      <c r="C185" s="2" t="s">
        <v>949</v>
      </c>
      <c r="D185" s="1" t="s">
        <v>952</v>
      </c>
      <c r="F185" s="2" t="s">
        <v>966</v>
      </c>
      <c r="G185" s="12" t="s">
        <v>822</v>
      </c>
      <c r="H185" s="14" t="s">
        <v>823</v>
      </c>
      <c r="J185" s="16">
        <f>JG</f>
        <v>0</v>
      </c>
      <c r="K185" s="13">
        <v>1</v>
      </c>
      <c r="L185" s="16">
        <f t="shared" si="33"/>
        <v>0</v>
      </c>
      <c r="M185" s="16"/>
      <c r="N185" s="18">
        <f t="shared" si="34"/>
        <v>0</v>
      </c>
      <c r="O185" s="16"/>
      <c r="P185" s="18">
        <f t="shared" si="35"/>
        <v>0</v>
      </c>
    </row>
    <row r="186" spans="1:16" ht="36">
      <c r="A186" s="12">
        <v>185</v>
      </c>
      <c r="C186" s="2" t="s">
        <v>949</v>
      </c>
      <c r="D186" s="1" t="s">
        <v>952</v>
      </c>
      <c r="E186" s="13" t="s">
        <v>971</v>
      </c>
      <c r="F186" s="2" t="s">
        <v>954</v>
      </c>
      <c r="G186" s="12" t="s">
        <v>822</v>
      </c>
      <c r="H186" s="14" t="s">
        <v>823</v>
      </c>
      <c r="I186" s="3" t="s">
        <v>959</v>
      </c>
      <c r="J186" s="16">
        <f>JG</f>
        <v>1.7249999999999999</v>
      </c>
      <c r="K186" s="13">
        <v>1</v>
      </c>
      <c r="L186" s="16">
        <f t="shared" si="33"/>
        <v>1.7249999999999999</v>
      </c>
      <c r="M186" s="16">
        <v>29.9</v>
      </c>
      <c r="N186" s="18">
        <f t="shared" si="34"/>
        <v>5.1577499999999991E-2</v>
      </c>
      <c r="O186" s="16">
        <v>0.96199999999999997</v>
      </c>
      <c r="P186" s="18">
        <f t="shared" si="35"/>
        <v>1.6594499999999999</v>
      </c>
    </row>
    <row r="187" spans="1:16" ht="36">
      <c r="A187" s="12">
        <v>186</v>
      </c>
      <c r="C187" s="2" t="s">
        <v>949</v>
      </c>
      <c r="D187" s="1" t="s">
        <v>955</v>
      </c>
      <c r="E187" s="13" t="s">
        <v>971</v>
      </c>
      <c r="F187" s="2" t="s">
        <v>484</v>
      </c>
      <c r="G187" s="12" t="s">
        <v>822</v>
      </c>
      <c r="H187" s="14" t="s">
        <v>823</v>
      </c>
      <c r="I187" s="3" t="s">
        <v>1044</v>
      </c>
      <c r="J187" s="16">
        <f>JG</f>
        <v>3.170000000000003</v>
      </c>
      <c r="K187" s="13">
        <v>1</v>
      </c>
      <c r="L187" s="16">
        <f t="shared" si="33"/>
        <v>3.170000000000003</v>
      </c>
      <c r="M187" s="16">
        <v>49.9</v>
      </c>
      <c r="N187" s="18">
        <f t="shared" si="34"/>
        <v>0.15818300000000013</v>
      </c>
      <c r="O187" s="16">
        <v>1.1599999999999999</v>
      </c>
      <c r="P187" s="18">
        <f t="shared" si="35"/>
        <v>3.6772000000000031</v>
      </c>
    </row>
    <row r="188" spans="1:16" ht="36">
      <c r="A188" s="12">
        <v>187</v>
      </c>
      <c r="C188" s="2" t="s">
        <v>949</v>
      </c>
      <c r="D188" s="1" t="s">
        <v>955</v>
      </c>
      <c r="F188" s="2" t="s">
        <v>966</v>
      </c>
      <c r="G188" s="12" t="s">
        <v>822</v>
      </c>
      <c r="H188" s="14" t="s">
        <v>823</v>
      </c>
      <c r="J188" s="16">
        <f>JG</f>
        <v>0</v>
      </c>
      <c r="K188" s="13">
        <v>1</v>
      </c>
      <c r="L188" s="16">
        <f t="shared" si="33"/>
        <v>0</v>
      </c>
      <c r="M188" s="16"/>
      <c r="N188" s="18">
        <f t="shared" si="34"/>
        <v>0</v>
      </c>
      <c r="O188" s="16"/>
      <c r="P188" s="18">
        <f t="shared" si="35"/>
        <v>0</v>
      </c>
    </row>
    <row r="189" spans="1:16" ht="36">
      <c r="A189" s="12">
        <v>188</v>
      </c>
      <c r="C189" s="2" t="s">
        <v>949</v>
      </c>
      <c r="D189" s="1" t="s">
        <v>955</v>
      </c>
      <c r="E189" s="13" t="s">
        <v>971</v>
      </c>
      <c r="F189" s="2" t="s">
        <v>956</v>
      </c>
      <c r="G189" s="12" t="s">
        <v>822</v>
      </c>
      <c r="H189" s="14" t="s">
        <v>823</v>
      </c>
      <c r="I189" s="3" t="s">
        <v>960</v>
      </c>
      <c r="J189" s="16">
        <f>JG</f>
        <v>1.3</v>
      </c>
      <c r="K189" s="13">
        <v>1</v>
      </c>
      <c r="L189" s="16">
        <f t="shared" si="33"/>
        <v>1.3</v>
      </c>
      <c r="M189" s="16">
        <v>29.9</v>
      </c>
      <c r="N189" s="18">
        <f t="shared" si="34"/>
        <v>3.8869999999999995E-2</v>
      </c>
      <c r="O189" s="16">
        <v>0.96199999999999997</v>
      </c>
      <c r="P189" s="18">
        <f t="shared" si="35"/>
        <v>1.2505999999999999</v>
      </c>
    </row>
    <row r="190" spans="1:16" ht="36">
      <c r="A190" s="12">
        <v>189</v>
      </c>
      <c r="C190" s="2" t="s">
        <v>949</v>
      </c>
      <c r="D190" s="1" t="s">
        <v>955</v>
      </c>
      <c r="E190" s="13" t="s">
        <v>973</v>
      </c>
      <c r="F190" s="2" t="s">
        <v>475</v>
      </c>
      <c r="G190" s="12" t="s">
        <v>822</v>
      </c>
      <c r="H190" s="14" t="s">
        <v>823</v>
      </c>
      <c r="I190" s="3" t="s">
        <v>961</v>
      </c>
      <c r="J190" s="16">
        <f>JG</f>
        <v>1.8384776310850237</v>
      </c>
      <c r="K190" s="13">
        <v>1</v>
      </c>
      <c r="L190" s="16">
        <f t="shared" si="33"/>
        <v>1.8384776310850237</v>
      </c>
      <c r="M190" s="16">
        <v>7.47</v>
      </c>
      <c r="N190" s="18">
        <f t="shared" si="34"/>
        <v>1.3733427904205129E-2</v>
      </c>
      <c r="O190" s="16">
        <v>0.247</v>
      </c>
      <c r="P190" s="18">
        <f t="shared" si="35"/>
        <v>0.45410397487800086</v>
      </c>
    </row>
    <row r="191" spans="1:16" ht="36">
      <c r="A191" s="12">
        <v>190</v>
      </c>
      <c r="C191" s="2" t="s">
        <v>949</v>
      </c>
      <c r="D191" s="1" t="s">
        <v>962</v>
      </c>
      <c r="E191" s="13" t="s">
        <v>971</v>
      </c>
      <c r="F191" s="2" t="s">
        <v>482</v>
      </c>
      <c r="G191" s="12" t="s">
        <v>822</v>
      </c>
      <c r="H191" s="14" t="s">
        <v>823</v>
      </c>
      <c r="I191" s="3" t="s">
        <v>1045</v>
      </c>
      <c r="J191" s="16">
        <f>JG</f>
        <v>6.3500000000000059</v>
      </c>
      <c r="K191" s="13">
        <v>1</v>
      </c>
      <c r="L191" s="16">
        <f t="shared" si="33"/>
        <v>6.3500000000000059</v>
      </c>
      <c r="M191" s="16">
        <v>40.4</v>
      </c>
      <c r="N191" s="18">
        <f t="shared" si="34"/>
        <v>0.25654000000000027</v>
      </c>
      <c r="O191" s="16">
        <v>1.01</v>
      </c>
      <c r="P191" s="18">
        <f t="shared" si="35"/>
        <v>6.4135000000000062</v>
      </c>
    </row>
    <row r="192" spans="1:16" ht="36">
      <c r="A192" s="12">
        <v>191</v>
      </c>
      <c r="C192" s="2" t="s">
        <v>949</v>
      </c>
      <c r="D192" s="1" t="s">
        <v>962</v>
      </c>
      <c r="F192" s="2" t="s">
        <v>966</v>
      </c>
      <c r="G192" s="12" t="s">
        <v>822</v>
      </c>
      <c r="H192" s="14" t="s">
        <v>823</v>
      </c>
      <c r="J192" s="16">
        <f>JG</f>
        <v>0</v>
      </c>
      <c r="K192" s="13">
        <v>1</v>
      </c>
      <c r="L192" s="16">
        <f t="shared" si="33"/>
        <v>0</v>
      </c>
      <c r="M192" s="16"/>
      <c r="N192" s="18">
        <f t="shared" si="34"/>
        <v>0</v>
      </c>
      <c r="O192" s="16"/>
      <c r="P192" s="18">
        <f t="shared" si="35"/>
        <v>0</v>
      </c>
    </row>
    <row r="193" spans="1:16" ht="36">
      <c r="A193" s="12">
        <v>192</v>
      </c>
      <c r="C193" s="2" t="s">
        <v>949</v>
      </c>
      <c r="D193" s="1" t="s">
        <v>962</v>
      </c>
      <c r="E193" s="13" t="s">
        <v>971</v>
      </c>
      <c r="F193" s="2" t="s">
        <v>954</v>
      </c>
      <c r="G193" s="12" t="s">
        <v>822</v>
      </c>
      <c r="H193" s="14" t="s">
        <v>823</v>
      </c>
      <c r="I193" s="3" t="s">
        <v>964</v>
      </c>
      <c r="J193" s="16">
        <f>JG</f>
        <v>1.7250000000000001</v>
      </c>
      <c r="K193" s="13">
        <v>1</v>
      </c>
      <c r="L193" s="16">
        <f t="shared" si="33"/>
        <v>1.7250000000000001</v>
      </c>
      <c r="M193" s="16">
        <v>29.9</v>
      </c>
      <c r="N193" s="18">
        <f t="shared" si="34"/>
        <v>5.1577499999999998E-2</v>
      </c>
      <c r="O193" s="16">
        <v>0.96199999999999997</v>
      </c>
      <c r="P193" s="18">
        <f t="shared" si="35"/>
        <v>1.6594500000000001</v>
      </c>
    </row>
    <row r="194" spans="1:16" ht="36">
      <c r="A194" s="12">
        <v>193</v>
      </c>
      <c r="C194" s="2" t="s">
        <v>967</v>
      </c>
      <c r="D194" s="1" t="s">
        <v>952</v>
      </c>
      <c r="E194" s="13" t="s">
        <v>971</v>
      </c>
      <c r="F194" s="2" t="s">
        <v>905</v>
      </c>
      <c r="G194" s="12" t="s">
        <v>822</v>
      </c>
      <c r="H194" s="14" t="s">
        <v>823</v>
      </c>
      <c r="I194" s="3" t="s">
        <v>1043</v>
      </c>
      <c r="J194" s="16">
        <f>JG</f>
        <v>6.3500000000000059</v>
      </c>
      <c r="K194" s="13">
        <v>1</v>
      </c>
      <c r="L194" s="16">
        <f t="shared" si="33"/>
        <v>6.3500000000000059</v>
      </c>
      <c r="M194" s="16">
        <v>40.4</v>
      </c>
      <c r="N194" s="18">
        <f t="shared" si="34"/>
        <v>0.25654000000000027</v>
      </c>
      <c r="O194" s="16">
        <v>1.01</v>
      </c>
      <c r="P194" s="18">
        <f t="shared" si="35"/>
        <v>6.4135000000000062</v>
      </c>
    </row>
    <row r="195" spans="1:16" ht="36">
      <c r="A195" s="12">
        <v>194</v>
      </c>
      <c r="C195" s="2" t="s">
        <v>967</v>
      </c>
      <c r="D195" s="1" t="s">
        <v>952</v>
      </c>
      <c r="F195" s="2" t="s">
        <v>965</v>
      </c>
      <c r="G195" s="12" t="s">
        <v>822</v>
      </c>
      <c r="H195" s="14" t="s">
        <v>823</v>
      </c>
      <c r="J195" s="16">
        <f>JG</f>
        <v>0</v>
      </c>
      <c r="K195" s="13">
        <v>1</v>
      </c>
      <c r="L195" s="16">
        <f t="shared" si="33"/>
        <v>0</v>
      </c>
      <c r="M195" s="16"/>
      <c r="N195" s="18">
        <f t="shared" si="34"/>
        <v>0</v>
      </c>
      <c r="O195" s="16"/>
      <c r="P195" s="18">
        <f t="shared" si="35"/>
        <v>0</v>
      </c>
    </row>
    <row r="196" spans="1:16" ht="36">
      <c r="A196" s="12">
        <v>195</v>
      </c>
      <c r="C196" s="2" t="s">
        <v>967</v>
      </c>
      <c r="D196" s="1" t="s">
        <v>952</v>
      </c>
      <c r="E196" s="13" t="s">
        <v>971</v>
      </c>
      <c r="F196" s="2" t="s">
        <v>953</v>
      </c>
      <c r="G196" s="12" t="s">
        <v>822</v>
      </c>
      <c r="H196" s="14" t="s">
        <v>823</v>
      </c>
      <c r="I196" s="3" t="s">
        <v>958</v>
      </c>
      <c r="J196" s="16">
        <f>JG</f>
        <v>1.7249999999999999</v>
      </c>
      <c r="K196" s="13">
        <v>1</v>
      </c>
      <c r="L196" s="16">
        <f t="shared" si="33"/>
        <v>1.7249999999999999</v>
      </c>
      <c r="M196" s="16">
        <v>29.9</v>
      </c>
      <c r="N196" s="18">
        <f t="shared" si="34"/>
        <v>5.1577499999999991E-2</v>
      </c>
      <c r="O196" s="16">
        <v>0.96199999999999997</v>
      </c>
      <c r="P196" s="18">
        <f t="shared" si="35"/>
        <v>1.6594499999999999</v>
      </c>
    </row>
    <row r="197" spans="1:16" ht="36">
      <c r="A197" s="12">
        <v>196</v>
      </c>
      <c r="C197" s="2" t="s">
        <v>967</v>
      </c>
      <c r="D197" s="1" t="s">
        <v>962</v>
      </c>
      <c r="E197" s="13" t="s">
        <v>971</v>
      </c>
      <c r="F197" s="2" t="s">
        <v>905</v>
      </c>
      <c r="G197" s="12" t="s">
        <v>822</v>
      </c>
      <c r="H197" s="14" t="s">
        <v>823</v>
      </c>
      <c r="I197" s="3" t="s">
        <v>1043</v>
      </c>
      <c r="J197" s="16">
        <f>JG</f>
        <v>6.3500000000000059</v>
      </c>
      <c r="K197" s="13">
        <v>1</v>
      </c>
      <c r="L197" s="16">
        <f t="shared" si="33"/>
        <v>6.3500000000000059</v>
      </c>
      <c r="M197" s="16">
        <v>40.4</v>
      </c>
      <c r="N197" s="18">
        <f t="shared" si="34"/>
        <v>0.25654000000000027</v>
      </c>
      <c r="O197" s="16">
        <v>1.01</v>
      </c>
      <c r="P197" s="18">
        <f t="shared" si="35"/>
        <v>6.4135000000000062</v>
      </c>
    </row>
    <row r="198" spans="1:16" ht="36">
      <c r="A198" s="12">
        <v>197</v>
      </c>
      <c r="C198" s="2" t="s">
        <v>967</v>
      </c>
      <c r="D198" s="1" t="s">
        <v>962</v>
      </c>
      <c r="F198" s="2" t="s">
        <v>965</v>
      </c>
      <c r="G198" s="12" t="s">
        <v>822</v>
      </c>
      <c r="H198" s="14" t="s">
        <v>823</v>
      </c>
      <c r="J198" s="16">
        <f>JG</f>
        <v>0</v>
      </c>
      <c r="K198" s="13">
        <v>1</v>
      </c>
      <c r="L198" s="16">
        <f t="shared" si="33"/>
        <v>0</v>
      </c>
      <c r="M198" s="16"/>
      <c r="N198" s="18">
        <f t="shared" si="34"/>
        <v>0</v>
      </c>
      <c r="O198" s="16"/>
      <c r="P198" s="18">
        <f t="shared" si="35"/>
        <v>0</v>
      </c>
    </row>
    <row r="199" spans="1:16" ht="36">
      <c r="A199" s="12">
        <v>198</v>
      </c>
      <c r="C199" s="2" t="s">
        <v>967</v>
      </c>
      <c r="D199" s="1" t="s">
        <v>962</v>
      </c>
      <c r="E199" s="13" t="s">
        <v>971</v>
      </c>
      <c r="F199" s="2" t="s">
        <v>953</v>
      </c>
      <c r="G199" s="12" t="s">
        <v>822</v>
      </c>
      <c r="H199" s="14" t="s">
        <v>823</v>
      </c>
      <c r="I199" s="3" t="s">
        <v>963</v>
      </c>
      <c r="J199" s="16">
        <f>JG</f>
        <v>1.7250000000000001</v>
      </c>
      <c r="K199" s="13">
        <v>1</v>
      </c>
      <c r="L199" s="16">
        <f t="shared" si="33"/>
        <v>1.7250000000000001</v>
      </c>
      <c r="M199" s="16">
        <v>29.9</v>
      </c>
      <c r="N199" s="18">
        <f t="shared" si="34"/>
        <v>5.1577499999999998E-2</v>
      </c>
      <c r="O199" s="16">
        <v>0.96199999999999997</v>
      </c>
      <c r="P199" s="18">
        <f t="shared" si="35"/>
        <v>1.6594500000000001</v>
      </c>
    </row>
    <row r="200" spans="1:16">
      <c r="A200" s="13" t="s">
        <v>968</v>
      </c>
      <c r="N200" s="19">
        <f>SUBTOTAL(109,N2:N199)</f>
        <v>247.26672221664077</v>
      </c>
      <c r="P200" s="19">
        <f>SUBTOTAL(109,P2:P199)</f>
        <v>5136.7546589594222</v>
      </c>
    </row>
  </sheetData>
  <autoFilter ref="A1:Q199">
    <sortState ref="A6:R604">
      <sortCondition ref="A6:A604"/>
    </sortState>
  </autoFilter>
  <sortState ref="A2:Q187">
    <sortCondition ref="A2:A187"/>
  </sortState>
  <phoneticPr fontId="2" type="noConversion"/>
  <conditionalFormatting sqref="A1:Q1048576">
    <cfRule type="expression" dxfId="1" priority="1">
      <formula>($A1="序号")+($A1="汇总")</formula>
    </cfRule>
    <cfRule type="expression" dxfId="0" priority="2">
      <formula>($A1&amp;$B1&amp;$C1&amp;$D1&amp;$E1&amp;$F1&amp;$G1&amp;$H1&amp;$I1&amp;$J1&amp;$K1&amp;$L1&amp;$M1&amp;$N1&amp;$O1&amp;$P1&amp;$Q1&lt;&gt;"")</formula>
    </cfRule>
  </conditionalFormatting>
  <printOptions horizontalCentered="1"/>
  <pageMargins left="0.51181102362204722" right="0.51181102362204722" top="0.59055118110236227" bottom="0.39370078740157483" header="0.31496062992125984" footer="0.31496062992125984"/>
  <pageSetup paperSize="9" scale="83" fitToHeight="0" orientation="landscape" r:id="rId1"/>
  <headerFooter alignWithMargins="0">
    <oddFooter>&amp;C第 &amp;P 页，共 &amp;N 页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9</vt:i4>
      </vt:variant>
    </vt:vector>
  </HeadingPairs>
  <TitlesOfParts>
    <vt:vector size="19" baseType="lpstr">
      <vt:lpstr>汇总</vt:lpstr>
      <vt:lpstr>14号管廊</vt:lpstr>
      <vt:lpstr>15号管廊</vt:lpstr>
      <vt:lpstr>16号管廊</vt:lpstr>
      <vt:lpstr>17号管廊</vt:lpstr>
      <vt:lpstr>常压主管廊</vt:lpstr>
      <vt:lpstr>常压电仪管廊</vt:lpstr>
      <vt:lpstr>覆土管架</vt:lpstr>
      <vt:lpstr>覆土泵棚</vt:lpstr>
      <vt:lpstr>液体装卸站</vt:lpstr>
      <vt:lpstr>'14号管廊'!Print_Titles</vt:lpstr>
      <vt:lpstr>'15号管廊'!Print_Titles</vt:lpstr>
      <vt:lpstr>'16号管廊'!Print_Titles</vt:lpstr>
      <vt:lpstr>'17号管廊'!Print_Titles</vt:lpstr>
      <vt:lpstr>常压电仪管廊!Print_Titles</vt:lpstr>
      <vt:lpstr>常压主管廊!Print_Titles</vt:lpstr>
      <vt:lpstr>覆土泵棚!Print_Titles</vt:lpstr>
      <vt:lpstr>覆土管架!Print_Titles</vt:lpstr>
      <vt:lpstr>液体装卸站!Print_Titles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Thinker</dc:creator>
  <cp:lastModifiedBy>Win7</cp:lastModifiedBy>
  <cp:lastPrinted>2022-03-17T01:58:00Z</cp:lastPrinted>
  <dcterms:created xsi:type="dcterms:W3CDTF">2016-07-17T02:14:00Z</dcterms:created>
  <dcterms:modified xsi:type="dcterms:W3CDTF">2022-05-09T00:23:03Z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2052-11.1.0.11115</vt:lpwstr>
  </property>
  <property fmtid="{D5CDD505-2E9C-101B-9397-08002B2CF9AE}" pid="3" name="ICV">
    <vt:lpwstr>8758E5A0E14C48ABAC13A2889E6B073C</vt:lpwstr>
  </property>
</Properties>
</file>